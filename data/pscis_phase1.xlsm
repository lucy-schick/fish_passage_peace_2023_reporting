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3_reporting\data\"/>
    </mc:Choice>
  </mc:AlternateContent>
  <xr:revisionPtr revIDLastSave="0" documentId="13_ncr:1_{CF2B5DF5-590B-4334-83B8-D93CD43CD335}"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50" i="2"/>
  <c r="AM48" i="2"/>
  <c r="AM45" i="2"/>
  <c r="AM40" i="2"/>
  <c r="AM30" i="2"/>
  <c r="AM26" i="2"/>
  <c r="AM21"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I5260" i="2"/>
  <c r="AH5260" i="2"/>
  <c r="AG5260" i="2"/>
  <c r="AF5260" i="2"/>
  <c r="AK5260" i="2"/>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c r="AJ5227" i="2"/>
  <c r="AI5227" i="2"/>
  <c r="AH5227" i="2"/>
  <c r="AG5227" i="2"/>
  <c r="AF5227" i="2"/>
  <c r="AK5227" i="2"/>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s="1"/>
  <c r="AJ5221" i="2"/>
  <c r="AI5221" i="2"/>
  <c r="AH5221" i="2"/>
  <c r="AG5221" i="2"/>
  <c r="AF5221" i="2"/>
  <c r="AK5221" i="2" s="1"/>
  <c r="AJ5220" i="2"/>
  <c r="AI5220" i="2"/>
  <c r="AH5220" i="2"/>
  <c r="AG5220" i="2"/>
  <c r="AF5220" i="2"/>
  <c r="AK5220" i="2"/>
  <c r="AJ5219" i="2"/>
  <c r="AI5219" i="2"/>
  <c r="AH5219" i="2"/>
  <c r="AG5219" i="2"/>
  <c r="AF5219" i="2"/>
  <c r="AK5219" i="2"/>
  <c r="AJ5218" i="2"/>
  <c r="AI5218" i="2"/>
  <c r="AH5218" i="2"/>
  <c r="AG5218" i="2"/>
  <c r="AF5218" i="2"/>
  <c r="AK5218" i="2" s="1"/>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s="1"/>
  <c r="AJ5189" i="2"/>
  <c r="AI5189" i="2"/>
  <c r="AH5189" i="2"/>
  <c r="AG5189" i="2"/>
  <c r="AF5189" i="2"/>
  <c r="AK5189" i="2" s="1"/>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s="1"/>
  <c r="AJ5166" i="2"/>
  <c r="AI5166" i="2"/>
  <c r="AL5166" i="2"/>
  <c r="AH5166" i="2"/>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s="1"/>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s="1"/>
  <c r="AJ5081" i="2"/>
  <c r="AI5081" i="2"/>
  <c r="AH5081" i="2"/>
  <c r="AG5081" i="2"/>
  <c r="AF5081" i="2"/>
  <c r="AK5081" i="2" s="1"/>
  <c r="AJ5080" i="2"/>
  <c r="AI5080" i="2"/>
  <c r="AH5080" i="2"/>
  <c r="AG5080" i="2"/>
  <c r="AF5080" i="2"/>
  <c r="AK5080" i="2"/>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s="1"/>
  <c r="AJ5057" i="2"/>
  <c r="AI5057" i="2"/>
  <c r="AH5057" i="2"/>
  <c r="AG5057" i="2"/>
  <c r="AF5057" i="2"/>
  <c r="AK5057" i="2"/>
  <c r="AL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c r="AJ5016" i="2"/>
  <c r="AI5016" i="2"/>
  <c r="AH5016" i="2"/>
  <c r="AG5016" i="2"/>
  <c r="AF5016" i="2"/>
  <c r="AK5016" i="2"/>
  <c r="AJ5015" i="2"/>
  <c r="AI5015" i="2"/>
  <c r="AH5015" i="2"/>
  <c r="AG5015" i="2"/>
  <c r="AF5015" i="2"/>
  <c r="AK5015" i="2" s="1"/>
  <c r="AJ5014" i="2"/>
  <c r="AI5014" i="2"/>
  <c r="AH5014" i="2"/>
  <c r="AG5014" i="2"/>
  <c r="AF5014" i="2"/>
  <c r="AK5014" i="2" s="1"/>
  <c r="AJ5013" i="2"/>
  <c r="AI5013" i="2"/>
  <c r="AH5013" i="2"/>
  <c r="AG5013" i="2"/>
  <c r="AF5013" i="2"/>
  <c r="AK5013" i="2"/>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c r="AG297" i="2"/>
  <c r="AL297" i="2" s="1"/>
  <c r="AH297" i="2"/>
  <c r="AI297" i="2"/>
  <c r="AJ297" i="2"/>
  <c r="AF298" i="2"/>
  <c r="AK298" i="2"/>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c r="AG322" i="2"/>
  <c r="AH322" i="2"/>
  <c r="AI322" i="2"/>
  <c r="AJ322" i="2"/>
  <c r="AF323" i="2"/>
  <c r="AK323" i="2" s="1"/>
  <c r="AG323" i="2"/>
  <c r="AH323" i="2"/>
  <c r="AI323" i="2"/>
  <c r="AJ323" i="2"/>
  <c r="AF324" i="2"/>
  <c r="AK324" i="2" s="1"/>
  <c r="AG324" i="2"/>
  <c r="AH324" i="2"/>
  <c r="AI324" i="2"/>
  <c r="AJ324" i="2"/>
  <c r="AF325" i="2"/>
  <c r="AK325" i="2" s="1"/>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s="1"/>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c r="AG353" i="2"/>
  <c r="AH353" i="2"/>
  <c r="AI353" i="2"/>
  <c r="AJ353" i="2"/>
  <c r="AF354" i="2"/>
  <c r="AK354" i="2" s="1"/>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s="1"/>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s="1"/>
  <c r="AG383" i="2"/>
  <c r="AH383" i="2"/>
  <c r="AI383" i="2"/>
  <c r="AJ383" i="2"/>
  <c r="AF384" i="2"/>
  <c r="AK384" i="2"/>
  <c r="AG384" i="2"/>
  <c r="AH384" i="2"/>
  <c r="AI384" i="2"/>
  <c r="AJ384" i="2"/>
  <c r="AF385" i="2"/>
  <c r="AK385" i="2"/>
  <c r="AG385" i="2"/>
  <c r="AH385" i="2"/>
  <c r="AI385" i="2"/>
  <c r="AJ385" i="2"/>
  <c r="AF386" i="2"/>
  <c r="AK386" i="2" s="1"/>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s="1"/>
  <c r="AG415" i="2"/>
  <c r="AH415" i="2"/>
  <c r="AI415" i="2"/>
  <c r="AJ415" i="2"/>
  <c r="AF416" i="2"/>
  <c r="AK416" i="2"/>
  <c r="AG416" i="2"/>
  <c r="AH416" i="2"/>
  <c r="AI416" i="2"/>
  <c r="AJ416" i="2"/>
  <c r="AF417" i="2"/>
  <c r="AK417" i="2"/>
  <c r="AG417" i="2"/>
  <c r="AH417" i="2"/>
  <c r="AI417" i="2"/>
  <c r="AJ417" i="2"/>
  <c r="AF418" i="2"/>
  <c r="AK418" i="2" s="1"/>
  <c r="AG418" i="2"/>
  <c r="AH418" i="2"/>
  <c r="AI418" i="2"/>
  <c r="AJ418" i="2"/>
  <c r="AF419" i="2"/>
  <c r="AK419" i="2" s="1"/>
  <c r="AG419" i="2"/>
  <c r="AH419" i="2"/>
  <c r="AI419" i="2"/>
  <c r="AJ419" i="2"/>
  <c r="AF420" i="2"/>
  <c r="AK420" i="2"/>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s="1"/>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s="1"/>
  <c r="AG434" i="2"/>
  <c r="AH434" i="2"/>
  <c r="AI434" i="2"/>
  <c r="AJ434" i="2"/>
  <c r="AF435" i="2"/>
  <c r="AK435" i="2" s="1"/>
  <c r="AG435" i="2"/>
  <c r="AH435" i="2"/>
  <c r="AI435" i="2"/>
  <c r="AJ435" i="2"/>
  <c r="AF436" i="2"/>
  <c r="AK436" i="2"/>
  <c r="AG436" i="2"/>
  <c r="AH436" i="2"/>
  <c r="AI436" i="2"/>
  <c r="AJ436" i="2"/>
  <c r="AF437" i="2"/>
  <c r="AK437" i="2"/>
  <c r="AG437" i="2"/>
  <c r="AH437" i="2"/>
  <c r="AI437" i="2"/>
  <c r="AJ437" i="2"/>
  <c r="AF438" i="2"/>
  <c r="AK438" i="2" s="1"/>
  <c r="AG438" i="2"/>
  <c r="AH438" i="2"/>
  <c r="AI438" i="2"/>
  <c r="AJ438" i="2"/>
  <c r="AF439" i="2"/>
  <c r="AK439" i="2" s="1"/>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c r="AG523" i="2"/>
  <c r="AH523" i="2"/>
  <c r="AI523" i="2"/>
  <c r="AJ523" i="2"/>
  <c r="AF524" i="2"/>
  <c r="AK524" i="2" s="1"/>
  <c r="AG524" i="2"/>
  <c r="AH524" i="2"/>
  <c r="AI524" i="2"/>
  <c r="AJ524" i="2"/>
  <c r="AF525" i="2"/>
  <c r="AK525" i="2" s="1"/>
  <c r="AL525" i="2" s="1"/>
  <c r="AG525" i="2"/>
  <c r="AH525" i="2"/>
  <c r="AI525" i="2"/>
  <c r="AJ525" i="2"/>
  <c r="AF526" i="2"/>
  <c r="AK526" i="2"/>
  <c r="AG526" i="2"/>
  <c r="AH526" i="2"/>
  <c r="AI526" i="2"/>
  <c r="AJ526" i="2"/>
  <c r="AF527" i="2"/>
  <c r="AG527" i="2"/>
  <c r="AH527" i="2"/>
  <c r="AI527" i="2"/>
  <c r="AJ527" i="2"/>
  <c r="AK527" i="2"/>
  <c r="AF528" i="2"/>
  <c r="AK528" i="2" s="1"/>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s="1"/>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c r="AG571" i="2"/>
  <c r="AH571" i="2"/>
  <c r="AI571" i="2"/>
  <c r="AJ571" i="2"/>
  <c r="AF572" i="2"/>
  <c r="AK572" i="2" s="1"/>
  <c r="AG572" i="2"/>
  <c r="AH572" i="2"/>
  <c r="AI572" i="2"/>
  <c r="AJ572" i="2"/>
  <c r="AL572" i="2" s="1"/>
  <c r="AF573" i="2"/>
  <c r="AK573" i="2"/>
  <c r="AG573" i="2"/>
  <c r="AH573" i="2"/>
  <c r="AI573" i="2"/>
  <c r="AJ573" i="2"/>
  <c r="AF574" i="2"/>
  <c r="AK574" i="2"/>
  <c r="AL574" i="2" s="1"/>
  <c r="AG574" i="2"/>
  <c r="AH574" i="2"/>
  <c r="AI574" i="2"/>
  <c r="AJ574" i="2"/>
  <c r="AF575" i="2"/>
  <c r="AK575" i="2"/>
  <c r="AG575" i="2"/>
  <c r="AH575" i="2"/>
  <c r="AL575" i="2" s="1"/>
  <c r="AI575" i="2"/>
  <c r="AJ575" i="2"/>
  <c r="AF576" i="2"/>
  <c r="AK576" i="2" s="1"/>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c r="AL581" i="2" s="1"/>
  <c r="AG581" i="2"/>
  <c r="AH581" i="2"/>
  <c r="AI581" i="2"/>
  <c r="AJ581" i="2"/>
  <c r="AF582" i="2"/>
  <c r="AK582" i="2"/>
  <c r="AG582" i="2"/>
  <c r="AH582" i="2"/>
  <c r="AL582" i="2" s="1"/>
  <c r="AI582" i="2"/>
  <c r="AJ582" i="2"/>
  <c r="AF583" i="2"/>
  <c r="AK583" i="2"/>
  <c r="AG583" i="2"/>
  <c r="AH583" i="2"/>
  <c r="AI583" i="2"/>
  <c r="AJ583" i="2"/>
  <c r="AF584" i="2"/>
  <c r="AK584" i="2" s="1"/>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s="1"/>
  <c r="AL588" i="2" s="1"/>
  <c r="AG588" i="2"/>
  <c r="AH588" i="2"/>
  <c r="AI588" i="2"/>
  <c r="AJ588" i="2"/>
  <c r="AF589" i="2"/>
  <c r="AK589" i="2"/>
  <c r="AG589" i="2"/>
  <c r="AH589" i="2"/>
  <c r="AI589" i="2"/>
  <c r="AJ589" i="2"/>
  <c r="AF590" i="2"/>
  <c r="AK590" i="2" s="1"/>
  <c r="AG590" i="2"/>
  <c r="AH590" i="2"/>
  <c r="AI590" i="2"/>
  <c r="AJ590" i="2"/>
  <c r="AF591" i="2"/>
  <c r="AK591" i="2"/>
  <c r="AG591" i="2"/>
  <c r="AH591" i="2"/>
  <c r="AI591" i="2"/>
  <c r="AJ591" i="2"/>
  <c r="AF592" i="2"/>
  <c r="AK592" i="2" s="1"/>
  <c r="AG592" i="2"/>
  <c r="AH592" i="2"/>
  <c r="AI592" i="2"/>
  <c r="AJ592" i="2"/>
  <c r="AF593" i="2"/>
  <c r="AK593" i="2"/>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c r="AG597" i="2"/>
  <c r="AH597" i="2"/>
  <c r="AI597" i="2"/>
  <c r="AJ597" i="2"/>
  <c r="AF598" i="2"/>
  <c r="AK598" i="2" s="1"/>
  <c r="AG598" i="2"/>
  <c r="AH598" i="2"/>
  <c r="AI598" i="2"/>
  <c r="AJ598" i="2"/>
  <c r="AF599" i="2"/>
  <c r="AK599" i="2"/>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c r="AG643" i="2"/>
  <c r="AH643" i="2"/>
  <c r="AI643" i="2"/>
  <c r="AL643" i="2" s="1"/>
  <c r="AJ643" i="2"/>
  <c r="AF644" i="2"/>
  <c r="AK644" i="2"/>
  <c r="AG644" i="2"/>
  <c r="AH644" i="2"/>
  <c r="AI644" i="2"/>
  <c r="AJ644" i="2"/>
  <c r="AF645" i="2"/>
  <c r="AK645" i="2" s="1"/>
  <c r="AL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c r="AG651" i="2"/>
  <c r="AH651" i="2"/>
  <c r="AI651" i="2"/>
  <c r="AJ651" i="2"/>
  <c r="AF652" i="2"/>
  <c r="AK652" i="2"/>
  <c r="AG652" i="2"/>
  <c r="AH652" i="2"/>
  <c r="AI652" i="2"/>
  <c r="AJ652" i="2"/>
  <c r="AF653" i="2"/>
  <c r="AK653" i="2" s="1"/>
  <c r="AG653" i="2"/>
  <c r="AH653" i="2"/>
  <c r="AI653" i="2"/>
  <c r="AJ653" i="2"/>
  <c r="AL653" i="2" s="1"/>
  <c r="AF654" i="2"/>
  <c r="AK654" i="2" s="1"/>
  <c r="AG654" i="2"/>
  <c r="AH654" i="2"/>
  <c r="AI654" i="2"/>
  <c r="AJ654" i="2"/>
  <c r="AF655" i="2"/>
  <c r="AK655" i="2"/>
  <c r="AG655" i="2"/>
  <c r="AL655" i="2" s="1"/>
  <c r="AH655" i="2"/>
  <c r="AI655" i="2"/>
  <c r="AJ655" i="2"/>
  <c r="AF656" i="2"/>
  <c r="AK656" i="2"/>
  <c r="AG656" i="2"/>
  <c r="AH656" i="2"/>
  <c r="AI656" i="2"/>
  <c r="AL656" i="2" s="1"/>
  <c r="AJ656" i="2"/>
  <c r="AF657" i="2"/>
  <c r="AK657" i="2" s="1"/>
  <c r="AG657" i="2"/>
  <c r="AH657" i="2"/>
  <c r="AI657" i="2"/>
  <c r="AJ657" i="2"/>
  <c r="AF658" i="2"/>
  <c r="AK658" i="2" s="1"/>
  <c r="AG658" i="2"/>
  <c r="AL658" i="2" s="1"/>
  <c r="AH658" i="2"/>
  <c r="AI658" i="2"/>
  <c r="AJ658" i="2"/>
  <c r="AF659" i="2"/>
  <c r="AK659" i="2"/>
  <c r="AG659" i="2"/>
  <c r="AH659" i="2"/>
  <c r="AI659" i="2"/>
  <c r="AL659" i="2" s="1"/>
  <c r="AJ659" i="2"/>
  <c r="AF660" i="2"/>
  <c r="AK660" i="2"/>
  <c r="AG660" i="2"/>
  <c r="AH660" i="2"/>
  <c r="AI660" i="2"/>
  <c r="AJ660" i="2"/>
  <c r="AF661" i="2"/>
  <c r="AK661" i="2" s="1"/>
  <c r="AL661" i="2" s="1"/>
  <c r="AG661" i="2"/>
  <c r="AH661" i="2"/>
  <c r="AI661" i="2"/>
  <c r="AJ661" i="2"/>
  <c r="AF662" i="2"/>
  <c r="AK662" i="2" s="1"/>
  <c r="AG662" i="2"/>
  <c r="AH662" i="2"/>
  <c r="AI662" i="2"/>
  <c r="AJ662" i="2"/>
  <c r="AF663" i="2"/>
  <c r="AK663" i="2"/>
  <c r="AG663" i="2"/>
  <c r="AH663" i="2"/>
  <c r="AI663" i="2"/>
  <c r="AJ663" i="2"/>
  <c r="AF664" i="2"/>
  <c r="AK664" i="2"/>
  <c r="AG664" i="2"/>
  <c r="AH664" i="2"/>
  <c r="AI664" i="2"/>
  <c r="AJ664" i="2"/>
  <c r="AF665" i="2"/>
  <c r="AK665" i="2" s="1"/>
  <c r="AG665" i="2"/>
  <c r="AH665" i="2"/>
  <c r="AI665" i="2"/>
  <c r="AJ665" i="2"/>
  <c r="AF666" i="2"/>
  <c r="AK666" i="2" s="1"/>
  <c r="AG666" i="2"/>
  <c r="AH666" i="2"/>
  <c r="AI666" i="2"/>
  <c r="AJ666" i="2"/>
  <c r="AF667" i="2"/>
  <c r="AK667" i="2"/>
  <c r="AG667" i="2"/>
  <c r="AH667" i="2"/>
  <c r="AI667" i="2"/>
  <c r="AJ667" i="2"/>
  <c r="AF668" i="2"/>
  <c r="AK668" i="2"/>
  <c r="AG668" i="2"/>
  <c r="AH668" i="2"/>
  <c r="AI668" i="2"/>
  <c r="AJ668" i="2"/>
  <c r="AF669" i="2"/>
  <c r="AK669" i="2" s="1"/>
  <c r="AG669" i="2"/>
  <c r="AH669" i="2"/>
  <c r="AI669" i="2"/>
  <c r="AJ669" i="2"/>
  <c r="AL669" i="2" s="1"/>
  <c r="AF670" i="2"/>
  <c r="AK670" i="2" s="1"/>
  <c r="AG670" i="2"/>
  <c r="AH670" i="2"/>
  <c r="AI670" i="2"/>
  <c r="AJ670" i="2"/>
  <c r="AF671" i="2"/>
  <c r="AK671" i="2"/>
  <c r="AG671" i="2"/>
  <c r="AL671" i="2" s="1"/>
  <c r="AH671" i="2"/>
  <c r="AI671" i="2"/>
  <c r="AJ671" i="2"/>
  <c r="AF672" i="2"/>
  <c r="AK672" i="2"/>
  <c r="AG672" i="2"/>
  <c r="AH672" i="2"/>
  <c r="AI672" i="2"/>
  <c r="AJ672" i="2"/>
  <c r="AF673" i="2"/>
  <c r="AK673" i="2" s="1"/>
  <c r="AG673" i="2"/>
  <c r="AH673" i="2"/>
  <c r="AI673" i="2"/>
  <c r="AJ673" i="2"/>
  <c r="AF674" i="2"/>
  <c r="AK674" i="2" s="1"/>
  <c r="AG674" i="2"/>
  <c r="AL674" i="2" s="1"/>
  <c r="AH674" i="2"/>
  <c r="AI674" i="2"/>
  <c r="AJ674" i="2"/>
  <c r="AF675" i="2"/>
  <c r="AK675" i="2"/>
  <c r="AG675" i="2"/>
  <c r="AH675" i="2"/>
  <c r="AI675" i="2"/>
  <c r="AL675" i="2" s="1"/>
  <c r="AJ675" i="2"/>
  <c r="AF676" i="2"/>
  <c r="AK676" i="2"/>
  <c r="AG676" i="2"/>
  <c r="AH676" i="2"/>
  <c r="AI676" i="2"/>
  <c r="AJ676" i="2"/>
  <c r="AF677" i="2"/>
  <c r="AK677" i="2" s="1"/>
  <c r="AG677" i="2"/>
  <c r="AH677" i="2"/>
  <c r="AI677" i="2"/>
  <c r="AJ677" i="2"/>
  <c r="AF678" i="2"/>
  <c r="AK678" i="2" s="1"/>
  <c r="AG678" i="2"/>
  <c r="AH678" i="2"/>
  <c r="AI678" i="2"/>
  <c r="AJ678" i="2"/>
  <c r="AF679" i="2"/>
  <c r="AK679" i="2"/>
  <c r="AG679" i="2"/>
  <c r="AH679" i="2"/>
  <c r="AI679" i="2"/>
  <c r="AJ679" i="2"/>
  <c r="AF680" i="2"/>
  <c r="AK680" i="2"/>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c r="AG684" i="2"/>
  <c r="AH684" i="2"/>
  <c r="AI684" i="2"/>
  <c r="AJ684" i="2"/>
  <c r="AF685" i="2"/>
  <c r="AK685" i="2" s="1"/>
  <c r="AG685" i="2"/>
  <c r="AH685" i="2"/>
  <c r="AI685" i="2"/>
  <c r="AJ685" i="2"/>
  <c r="AF686" i="2"/>
  <c r="AK686" i="2" s="1"/>
  <c r="AG686" i="2"/>
  <c r="AH686" i="2"/>
  <c r="AI686" i="2"/>
  <c r="AJ686" i="2"/>
  <c r="AF687" i="2"/>
  <c r="AK687" i="2"/>
  <c r="AG687" i="2"/>
  <c r="AL687" i="2" s="1"/>
  <c r="AH687" i="2"/>
  <c r="AI687" i="2"/>
  <c r="AJ687" i="2"/>
  <c r="AF688" i="2"/>
  <c r="AK688" i="2"/>
  <c r="AG688" i="2"/>
  <c r="AH688" i="2"/>
  <c r="AI688" i="2"/>
  <c r="AL688" i="2" s="1"/>
  <c r="AJ688" i="2"/>
  <c r="AF689" i="2"/>
  <c r="AK689" i="2" s="1"/>
  <c r="AG689" i="2"/>
  <c r="AH689" i="2"/>
  <c r="AI689" i="2"/>
  <c r="AJ689" i="2"/>
  <c r="AF690" i="2"/>
  <c r="AK690" i="2" s="1"/>
  <c r="AG690" i="2"/>
  <c r="AH690" i="2"/>
  <c r="AI690" i="2"/>
  <c r="AJ690" i="2"/>
  <c r="AF691" i="2"/>
  <c r="AK691" i="2"/>
  <c r="AG691" i="2"/>
  <c r="AH691" i="2"/>
  <c r="AI691" i="2"/>
  <c r="AL691" i="2" s="1"/>
  <c r="AJ691" i="2"/>
  <c r="AF692" i="2"/>
  <c r="AK692" i="2"/>
  <c r="AG692" i="2"/>
  <c r="AH692" i="2"/>
  <c r="AI692" i="2"/>
  <c r="AJ692" i="2"/>
  <c r="AF693" i="2"/>
  <c r="AK693" i="2" s="1"/>
  <c r="AL693" i="2" s="1"/>
  <c r="AG693" i="2"/>
  <c r="AH693" i="2"/>
  <c r="AI693" i="2"/>
  <c r="AJ693" i="2"/>
  <c r="AF694" i="2"/>
  <c r="AK694" i="2" s="1"/>
  <c r="AG694" i="2"/>
  <c r="AH694" i="2"/>
  <c r="AI694" i="2"/>
  <c r="AJ694" i="2"/>
  <c r="AF695" i="2"/>
  <c r="AK695" i="2"/>
  <c r="AG695" i="2"/>
  <c r="AH695" i="2"/>
  <c r="AI695" i="2"/>
  <c r="AJ695" i="2"/>
  <c r="AF696" i="2"/>
  <c r="AK696" i="2"/>
  <c r="AG696" i="2"/>
  <c r="AH696" i="2"/>
  <c r="AI696" i="2"/>
  <c r="AJ696" i="2"/>
  <c r="AF697" i="2"/>
  <c r="AK697" i="2" s="1"/>
  <c r="AG697" i="2"/>
  <c r="AH697" i="2"/>
  <c r="AI697" i="2"/>
  <c r="AJ697" i="2"/>
  <c r="AF698" i="2"/>
  <c r="AK698" i="2" s="1"/>
  <c r="AG698" i="2"/>
  <c r="AH698" i="2"/>
  <c r="AI698" i="2"/>
  <c r="AJ698" i="2"/>
  <c r="AF699" i="2"/>
  <c r="AK699" i="2"/>
  <c r="AG699" i="2"/>
  <c r="AH699" i="2"/>
  <c r="AI699" i="2"/>
  <c r="AJ699" i="2"/>
  <c r="AF700" i="2"/>
  <c r="AK700" i="2"/>
  <c r="AG700" i="2"/>
  <c r="AH700" i="2"/>
  <c r="AI700" i="2"/>
  <c r="AJ700" i="2"/>
  <c r="AF701" i="2"/>
  <c r="AK701" i="2" s="1"/>
  <c r="AG701" i="2"/>
  <c r="AH701" i="2"/>
  <c r="AI701" i="2"/>
  <c r="AJ701" i="2"/>
  <c r="AL701" i="2" s="1"/>
  <c r="AF702" i="2"/>
  <c r="AK702" i="2" s="1"/>
  <c r="AG702" i="2"/>
  <c r="AH702" i="2"/>
  <c r="AI702" i="2"/>
  <c r="AJ702" i="2"/>
  <c r="AF703" i="2"/>
  <c r="AK703" i="2"/>
  <c r="AG703" i="2"/>
  <c r="AL703" i="2" s="1"/>
  <c r="AH703" i="2"/>
  <c r="AI703" i="2"/>
  <c r="AJ703" i="2"/>
  <c r="AF704" i="2"/>
  <c r="AK704" i="2"/>
  <c r="AG704" i="2"/>
  <c r="AH704" i="2"/>
  <c r="AL704" i="2"/>
  <c r="AI704" i="2"/>
  <c r="AJ704" i="2"/>
  <c r="AF705" i="2"/>
  <c r="AK705" i="2" s="1"/>
  <c r="AG705" i="2"/>
  <c r="AH705" i="2"/>
  <c r="AI705" i="2"/>
  <c r="AJ705" i="2"/>
  <c r="AF706" i="2"/>
  <c r="AK706" i="2"/>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s="1"/>
  <c r="AG741" i="2"/>
  <c r="AH741" i="2"/>
  <c r="AI741" i="2"/>
  <c r="AL741" i="2" s="1"/>
  <c r="AJ741" i="2"/>
  <c r="AF742" i="2"/>
  <c r="AK742" i="2"/>
  <c r="AG742" i="2"/>
  <c r="AH742" i="2"/>
  <c r="AI742" i="2"/>
  <c r="AJ742" i="2"/>
  <c r="AF743" i="2"/>
  <c r="AK743" i="2" s="1"/>
  <c r="AL743" i="2" s="1"/>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c r="AG816" i="2"/>
  <c r="AH816" i="2"/>
  <c r="AI816" i="2"/>
  <c r="AJ816" i="2"/>
  <c r="AF817" i="2"/>
  <c r="AK817" i="2" s="1"/>
  <c r="AG817" i="2"/>
  <c r="AH817" i="2"/>
  <c r="AI817" i="2"/>
  <c r="AJ817" i="2"/>
  <c r="AF818" i="2"/>
  <c r="AK818" i="2"/>
  <c r="AG818" i="2"/>
  <c r="AH818" i="2"/>
  <c r="AI818" i="2"/>
  <c r="AJ818" i="2"/>
  <c r="AF819" i="2"/>
  <c r="AK819" i="2"/>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c r="AG848" i="2"/>
  <c r="AH848" i="2"/>
  <c r="AI848" i="2"/>
  <c r="AJ848" i="2"/>
  <c r="AF849" i="2"/>
  <c r="AK849" i="2" s="1"/>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s="1"/>
  <c r="AG853" i="2"/>
  <c r="AH853" i="2"/>
  <c r="AI853" i="2"/>
  <c r="AJ853" i="2"/>
  <c r="AF854" i="2"/>
  <c r="AK854" i="2"/>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c r="AG867" i="2"/>
  <c r="AH867" i="2"/>
  <c r="AI867" i="2"/>
  <c r="AJ867" i="2"/>
  <c r="AF868" i="2"/>
  <c r="AK868" i="2"/>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s="1"/>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s="1"/>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s="1"/>
  <c r="AG925" i="2"/>
  <c r="AH925" i="2"/>
  <c r="AL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s="1"/>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s="1"/>
  <c r="AG972" i="2"/>
  <c r="AH972" i="2"/>
  <c r="AI972" i="2"/>
  <c r="AJ972" i="2"/>
  <c r="AF973" i="2"/>
  <c r="AK973" i="2"/>
  <c r="AG973" i="2"/>
  <c r="AH973" i="2"/>
  <c r="AI973" i="2"/>
  <c r="AJ973" i="2"/>
  <c r="AF974" i="2"/>
  <c r="AK974" i="2"/>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s="1"/>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s="1"/>
  <c r="AG998" i="2"/>
  <c r="AH998" i="2"/>
  <c r="AI998" i="2"/>
  <c r="AJ998" i="2"/>
  <c r="AF999" i="2"/>
  <c r="AK999" i="2"/>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s="1"/>
  <c r="AG1087" i="2"/>
  <c r="AH1087" i="2"/>
  <c r="AI1087" i="2"/>
  <c r="AJ1087" i="2"/>
  <c r="AF1088" i="2"/>
  <c r="AK1088" i="2" s="1"/>
  <c r="AG1088" i="2"/>
  <c r="AL1088" i="2" s="1"/>
  <c r="AH1088" i="2"/>
  <c r="AI1088" i="2"/>
  <c r="AJ1088" i="2"/>
  <c r="AF1089" i="2"/>
  <c r="AK1089" i="2" s="1"/>
  <c r="AL1089" i="2" s="1"/>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c r="AG1093" i="2"/>
  <c r="AL1093" i="2"/>
  <c r="AH1093" i="2"/>
  <c r="AI1093" i="2"/>
  <c r="AJ1093" i="2"/>
  <c r="AF1094" i="2"/>
  <c r="AK1094" i="2"/>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L1103" i="2"/>
  <c r="AF1104" i="2"/>
  <c r="AK1104" i="2" s="1"/>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s="1"/>
  <c r="AG1110" i="2"/>
  <c r="AH1110" i="2"/>
  <c r="AI1110" i="2"/>
  <c r="AJ1110" i="2"/>
  <c r="AF1111" i="2"/>
  <c r="AK1111" i="2"/>
  <c r="AG1111" i="2"/>
  <c r="AL1111" i="2" s="1"/>
  <c r="AH1111" i="2"/>
  <c r="AI1111" i="2"/>
  <c r="AJ1111" i="2"/>
  <c r="AF1112" i="2"/>
  <c r="AK1112" i="2" s="1"/>
  <c r="AL1112" i="2" s="1"/>
  <c r="AG1112" i="2"/>
  <c r="AH1112" i="2"/>
  <c r="AI1112" i="2"/>
  <c r="AJ1112" i="2"/>
  <c r="AF1113" i="2"/>
  <c r="AK1113" i="2" s="1"/>
  <c r="AG1113" i="2"/>
  <c r="AH1113" i="2"/>
  <c r="AI1113" i="2"/>
  <c r="AJ1113" i="2"/>
  <c r="AF1114" i="2"/>
  <c r="AK1114" i="2" s="1"/>
  <c r="AG1114" i="2"/>
  <c r="AH1114" i="2"/>
  <c r="AI1114" i="2"/>
  <c r="AJ1114" i="2"/>
  <c r="AF1115" i="2"/>
  <c r="AK1115" i="2"/>
  <c r="AL1115" i="2" s="1"/>
  <c r="AG1115" i="2"/>
  <c r="AH1115" i="2"/>
  <c r="AI1115" i="2"/>
  <c r="AJ1115" i="2"/>
  <c r="AF1116" i="2"/>
  <c r="AK1116" i="2" s="1"/>
  <c r="AG1116" i="2"/>
  <c r="AH1116" i="2"/>
  <c r="AI1116" i="2"/>
  <c r="AL1116" i="2" s="1"/>
  <c r="AJ1116" i="2"/>
  <c r="AF1117" i="2"/>
  <c r="AK1117" i="2" s="1"/>
  <c r="AG1117" i="2"/>
  <c r="AH1117" i="2"/>
  <c r="AI1117" i="2"/>
  <c r="AJ1117" i="2"/>
  <c r="AF1118" i="2"/>
  <c r="AK1118" i="2" s="1"/>
  <c r="AG1118" i="2"/>
  <c r="AL1118" i="2" s="1"/>
  <c r="AH1118" i="2"/>
  <c r="AI1118" i="2"/>
  <c r="AJ1118" i="2"/>
  <c r="AF1119" i="2"/>
  <c r="AK1119" i="2"/>
  <c r="AG1119" i="2"/>
  <c r="AH1119" i="2"/>
  <c r="AI1119" i="2"/>
  <c r="AL1119" i="2" s="1"/>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s="1"/>
  <c r="AG1125" i="2"/>
  <c r="AH1125" i="2"/>
  <c r="AI1125" i="2"/>
  <c r="AJ1125" i="2"/>
  <c r="AL1125" i="2" s="1"/>
  <c r="AF1126" i="2"/>
  <c r="AK1126" i="2" s="1"/>
  <c r="AG1126" i="2"/>
  <c r="AH1126" i="2"/>
  <c r="AI1126" i="2"/>
  <c r="AJ1126" i="2"/>
  <c r="AF1127" i="2"/>
  <c r="AK1127" i="2"/>
  <c r="AG1127" i="2"/>
  <c r="AL1127" i="2" s="1"/>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c r="AL1135" i="2"/>
  <c r="AG1135" i="2"/>
  <c r="AH1135" i="2"/>
  <c r="AI1135" i="2"/>
  <c r="AJ1135" i="2"/>
  <c r="AF1136" i="2"/>
  <c r="AK1136" i="2"/>
  <c r="AG1136" i="2"/>
  <c r="AH1136" i="2"/>
  <c r="AI1136" i="2"/>
  <c r="AJ1136" i="2"/>
  <c r="AF1137" i="2"/>
  <c r="AK1137" i="2" s="1"/>
  <c r="AG1137" i="2"/>
  <c r="AH1137" i="2"/>
  <c r="AI1137" i="2"/>
  <c r="AL1137" i="2" s="1"/>
  <c r="AJ1137" i="2"/>
  <c r="AF1138" i="2"/>
  <c r="AK1138" i="2"/>
  <c r="AG1138" i="2"/>
  <c r="AH1138" i="2"/>
  <c r="AI1138" i="2"/>
  <c r="AJ1138" i="2"/>
  <c r="AF1139" i="2"/>
  <c r="AK1139" i="2" s="1"/>
  <c r="AL1139" i="2" s="1"/>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s="1"/>
  <c r="AG1183" i="2"/>
  <c r="AL1183" i="2" s="1"/>
  <c r="AH1183" i="2"/>
  <c r="AI1183" i="2"/>
  <c r="AJ1183" i="2"/>
  <c r="AF1184" i="2"/>
  <c r="AK1184" i="2"/>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s="1"/>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s="1"/>
  <c r="AG1222" i="2"/>
  <c r="AH1222" i="2"/>
  <c r="AI1222" i="2"/>
  <c r="AJ1222" i="2"/>
  <c r="AF1223" i="2"/>
  <c r="AK1223" i="2"/>
  <c r="AG1223" i="2"/>
  <c r="AH1223" i="2"/>
  <c r="AI1223" i="2"/>
  <c r="AJ1223" i="2"/>
  <c r="AF1224" i="2"/>
  <c r="AK1224" i="2" s="1"/>
  <c r="AL1224" i="2" s="1"/>
  <c r="AG1224" i="2"/>
  <c r="AH1224" i="2"/>
  <c r="AI1224" i="2"/>
  <c r="AJ1224" i="2"/>
  <c r="AF1225" i="2"/>
  <c r="AK1225" i="2"/>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c r="AG1249" i="2"/>
  <c r="AL1249" i="2" s="1"/>
  <c r="AH1249" i="2"/>
  <c r="AI1249" i="2"/>
  <c r="AJ1249" i="2"/>
  <c r="AF1250" i="2"/>
  <c r="AK1250" i="2"/>
  <c r="AG1250" i="2"/>
  <c r="AH1250" i="2"/>
  <c r="AI1250" i="2"/>
  <c r="AJ1250" i="2"/>
  <c r="AF1251" i="2"/>
  <c r="AK1251" i="2" s="1"/>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s="1"/>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c r="AG1275" i="2"/>
  <c r="AH1275" i="2"/>
  <c r="AL1275" i="2"/>
  <c r="AI1275" i="2"/>
  <c r="AJ1275" i="2"/>
  <c r="AF1276" i="2"/>
  <c r="AK1276" i="2" s="1"/>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s="1"/>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c r="AG1327" i="2"/>
  <c r="AL1327" i="2" s="1"/>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L1343" i="2"/>
  <c r="AH1343" i="2"/>
  <c r="AI1343" i="2"/>
  <c r="AJ1343" i="2"/>
  <c r="AF1344" i="2"/>
  <c r="AK1344" i="2"/>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c r="AG1356" i="2"/>
  <c r="AH1356" i="2"/>
  <c r="AL1356" i="2" s="1"/>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s="1"/>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s="1"/>
  <c r="AG1455" i="2"/>
  <c r="AH1455" i="2"/>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s="1"/>
  <c r="AG1487" i="2"/>
  <c r="AH1487" i="2"/>
  <c r="AI1487" i="2"/>
  <c r="AJ1487" i="2"/>
  <c r="AF1488" i="2"/>
  <c r="AK1488" i="2" s="1"/>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s="1"/>
  <c r="AG1499" i="2"/>
  <c r="AH1499" i="2"/>
  <c r="AI1499" i="2"/>
  <c r="AJ1499" i="2"/>
  <c r="AF1500" i="2"/>
  <c r="AK1500" i="2" s="1"/>
  <c r="AG1500" i="2"/>
  <c r="AH1500" i="2"/>
  <c r="AI1500" i="2"/>
  <c r="AJ1500" i="2"/>
  <c r="AF1501" i="2"/>
  <c r="AK1501" i="2"/>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c r="AG1509" i="2"/>
  <c r="AL1509" i="2"/>
  <c r="AH1509" i="2"/>
  <c r="AI1509" i="2"/>
  <c r="AJ1509" i="2"/>
  <c r="AF1510" i="2"/>
  <c r="AK1510" i="2"/>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L1531" i="2" s="1"/>
  <c r="AJ1531" i="2"/>
  <c r="AF1532" i="2"/>
  <c r="AK1532" i="2" s="1"/>
  <c r="AG1532" i="2"/>
  <c r="AH1532" i="2"/>
  <c r="AI1532" i="2"/>
  <c r="AJ1532" i="2"/>
  <c r="AF1533" i="2"/>
  <c r="AK1533" i="2"/>
  <c r="AL1533" i="2" s="1"/>
  <c r="AG1533" i="2"/>
  <c r="AH1533" i="2"/>
  <c r="AI1533" i="2"/>
  <c r="AJ1533" i="2"/>
  <c r="AF1534" i="2"/>
  <c r="AK1534" i="2"/>
  <c r="AG1534" i="2"/>
  <c r="AH1534" i="2"/>
  <c r="AL1534" i="2" s="1"/>
  <c r="AI1534" i="2"/>
  <c r="AJ1534" i="2"/>
  <c r="AF1535" i="2"/>
  <c r="AK1535" i="2"/>
  <c r="AG1535" i="2"/>
  <c r="AH1535" i="2"/>
  <c r="AI1535" i="2"/>
  <c r="AJ1535" i="2"/>
  <c r="AL1535" i="2" s="1"/>
  <c r="AF1536" i="2"/>
  <c r="AK1536" i="2" s="1"/>
  <c r="AG1536" i="2"/>
  <c r="AH1536" i="2"/>
  <c r="AI1536" i="2"/>
  <c r="AJ1536" i="2"/>
  <c r="AF1537" i="2"/>
  <c r="AK1537" i="2"/>
  <c r="AG1537" i="2"/>
  <c r="AL1537" i="2" s="1"/>
  <c r="AH1537" i="2"/>
  <c r="AI1537" i="2"/>
  <c r="AJ1537" i="2"/>
  <c r="AF1538" i="2"/>
  <c r="AK1538" i="2"/>
  <c r="AG1538" i="2"/>
  <c r="AH1538" i="2"/>
  <c r="AI1538" i="2"/>
  <c r="AL1538" i="2" s="1"/>
  <c r="AJ1538" i="2"/>
  <c r="AF1539" i="2"/>
  <c r="AK1539" i="2"/>
  <c r="AG1539" i="2"/>
  <c r="AH1539" i="2"/>
  <c r="AI1539" i="2"/>
  <c r="AJ1539" i="2"/>
  <c r="AF1540" i="2"/>
  <c r="AK1540" i="2" s="1"/>
  <c r="AL1540" i="2" s="1"/>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s="1"/>
  <c r="AG1553" i="2"/>
  <c r="AH1553" i="2"/>
  <c r="AI1553" i="2"/>
  <c r="AJ1553" i="2"/>
  <c r="AF1554" i="2"/>
  <c r="AK1554" i="2"/>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s="1"/>
  <c r="AG1560" i="2"/>
  <c r="AH1560" i="2"/>
  <c r="AI1560" i="2"/>
  <c r="AJ1560" i="2"/>
  <c r="AF1561" i="2"/>
  <c r="AK1561" i="2" s="1"/>
  <c r="AG1561" i="2"/>
  <c r="AH1561" i="2"/>
  <c r="AI1561" i="2"/>
  <c r="AJ1561" i="2"/>
  <c r="AF1562" i="2"/>
  <c r="AK1562" i="2"/>
  <c r="AG1562" i="2"/>
  <c r="AH1562" i="2"/>
  <c r="AI1562" i="2"/>
  <c r="AJ1562" i="2"/>
  <c r="AF1563" i="2"/>
  <c r="AK1563" i="2"/>
  <c r="AG1563" i="2"/>
  <c r="AH1563" i="2"/>
  <c r="AI1563" i="2"/>
  <c r="AJ1563" i="2"/>
  <c r="AF1564" i="2"/>
  <c r="AK1564" i="2" s="1"/>
  <c r="AL1564" i="2" s="1"/>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s="1"/>
  <c r="AG1580" i="2"/>
  <c r="AH1580" i="2"/>
  <c r="AI1580" i="2"/>
  <c r="AJ1580" i="2"/>
  <c r="AL1580" i="2" s="1"/>
  <c r="AF1581" i="2"/>
  <c r="AK1581" i="2"/>
  <c r="AG1581" i="2"/>
  <c r="AH1581" i="2"/>
  <c r="AI1581" i="2"/>
  <c r="AJ1581" i="2"/>
  <c r="AF1582" i="2"/>
  <c r="AK1582" i="2"/>
  <c r="AL1582" i="2" s="1"/>
  <c r="AG1582" i="2"/>
  <c r="AH1582" i="2"/>
  <c r="AI1582" i="2"/>
  <c r="AJ1582" i="2"/>
  <c r="AF1583" i="2"/>
  <c r="AK1583" i="2"/>
  <c r="AG1583" i="2"/>
  <c r="AH1583" i="2"/>
  <c r="AL1583" i="2" s="1"/>
  <c r="AI1583" i="2"/>
  <c r="AJ1583" i="2"/>
  <c r="AF1584" i="2"/>
  <c r="AK1584" i="2" s="1"/>
  <c r="AG1584" i="2"/>
  <c r="AH1584" i="2"/>
  <c r="AI1584" i="2"/>
  <c r="AJ1584" i="2"/>
  <c r="AF1585" i="2"/>
  <c r="AK1585" i="2" s="1"/>
  <c r="AG1585" i="2"/>
  <c r="AH1585" i="2"/>
  <c r="AI1585" i="2"/>
  <c r="AJ1585" i="2"/>
  <c r="AF1586" i="2"/>
  <c r="AK1586" i="2"/>
  <c r="AG1586" i="2"/>
  <c r="AH1586" i="2"/>
  <c r="AI1586" i="2"/>
  <c r="AJ1586" i="2"/>
  <c r="AF1587" i="2"/>
  <c r="AK1587" i="2"/>
  <c r="AG1587" i="2"/>
  <c r="AH1587" i="2"/>
  <c r="AI1587" i="2"/>
  <c r="AJ1587" i="2"/>
  <c r="AF1588" i="2"/>
  <c r="AK1588" i="2" s="1"/>
  <c r="AG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s="1"/>
  <c r="AG1605" i="2"/>
  <c r="AH1605" i="2"/>
  <c r="AI1605" i="2"/>
  <c r="AJ1605" i="2"/>
  <c r="AF1606" i="2"/>
  <c r="AK1606" i="2" s="1"/>
  <c r="AG1606" i="2"/>
  <c r="AH1606" i="2"/>
  <c r="AI1606" i="2"/>
  <c r="AJ1606" i="2"/>
  <c r="AF1607" i="2"/>
  <c r="AK1607" i="2"/>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s="1"/>
  <c r="AG1613" i="2"/>
  <c r="AH1613" i="2"/>
  <c r="AI1613" i="2"/>
  <c r="AJ1613" i="2"/>
  <c r="AF1614" i="2"/>
  <c r="AK1614" i="2" s="1"/>
  <c r="AG1614" i="2"/>
  <c r="AH1614" i="2"/>
  <c r="AI1614" i="2"/>
  <c r="AJ1614" i="2"/>
  <c r="AF1615" i="2"/>
  <c r="AK1615" i="2"/>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s="1"/>
  <c r="AG1633" i="2"/>
  <c r="AH1633" i="2"/>
  <c r="AL1633" i="2" s="1"/>
  <c r="AI1633" i="2"/>
  <c r="AJ1633" i="2"/>
  <c r="AF1634" i="2"/>
  <c r="AK1634" i="2" s="1"/>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s="1"/>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s="1"/>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s="1"/>
  <c r="AG1658" i="2"/>
  <c r="AH1658" i="2"/>
  <c r="AI1658" i="2"/>
  <c r="AJ1658" i="2"/>
  <c r="AF1659" i="2"/>
  <c r="AK1659" i="2" s="1"/>
  <c r="AG1659" i="2"/>
  <c r="AH1659" i="2"/>
  <c r="AI1659" i="2"/>
  <c r="AJ1659" i="2"/>
  <c r="AF1660" i="2"/>
  <c r="AK1660" i="2"/>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s="1"/>
  <c r="AG1666" i="2"/>
  <c r="AH1666" i="2"/>
  <c r="AI1666" i="2"/>
  <c r="AJ1666" i="2"/>
  <c r="AF1667" i="2"/>
  <c r="AK1667" i="2" s="1"/>
  <c r="AG1667" i="2"/>
  <c r="AH1667" i="2"/>
  <c r="AI1667" i="2"/>
  <c r="AJ1667" i="2"/>
  <c r="AF1668" i="2"/>
  <c r="AK1668" i="2"/>
  <c r="AG1668" i="2"/>
  <c r="AL1668" i="2" s="1"/>
  <c r="AH1668" i="2"/>
  <c r="AI1668" i="2"/>
  <c r="AJ1668" i="2"/>
  <c r="AF1669" i="2"/>
  <c r="AK1669" i="2"/>
  <c r="AG1669" i="2"/>
  <c r="AH1669" i="2"/>
  <c r="AI1669" i="2"/>
  <c r="AL1669" i="2" s="1"/>
  <c r="AJ1669" i="2"/>
  <c r="AF1670" i="2"/>
  <c r="AK1670" i="2" s="1"/>
  <c r="AG1670" i="2"/>
  <c r="AH1670" i="2"/>
  <c r="AI1670" i="2"/>
  <c r="AJ1670" i="2"/>
  <c r="AF1671" i="2"/>
  <c r="AK1671" i="2"/>
  <c r="AL1671" i="2" s="1"/>
  <c r="AG1671" i="2"/>
  <c r="AH1671" i="2"/>
  <c r="AI1671" i="2"/>
  <c r="AJ1671" i="2"/>
  <c r="AF1672" i="2"/>
  <c r="AK1672" i="2"/>
  <c r="AG1672" i="2"/>
  <c r="AH1672" i="2"/>
  <c r="AL1672" i="2" s="1"/>
  <c r="AI1672" i="2"/>
  <c r="AJ1672" i="2"/>
  <c r="AF1673" i="2"/>
  <c r="AK1673" i="2"/>
  <c r="AG1673" i="2"/>
  <c r="AH1673" i="2"/>
  <c r="AI1673" i="2"/>
  <c r="AJ1673" i="2"/>
  <c r="AL1673" i="2" s="1"/>
  <c r="AF1674" i="2"/>
  <c r="AK1674" i="2" s="1"/>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s="1"/>
  <c r="AL1678" i="2" s="1"/>
  <c r="AG1678" i="2"/>
  <c r="AH1678" i="2"/>
  <c r="AI1678" i="2"/>
  <c r="AJ1678" i="2"/>
  <c r="AF1679" i="2"/>
  <c r="AK1679" i="2" s="1"/>
  <c r="AG1679" i="2"/>
  <c r="AH1679" i="2"/>
  <c r="AI1679" i="2"/>
  <c r="AJ1679" i="2"/>
  <c r="AF1680" i="2"/>
  <c r="AK1680" i="2"/>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s="1"/>
  <c r="AG1690" i="2"/>
  <c r="AH1690" i="2"/>
  <c r="AI1690" i="2"/>
  <c r="AJ1690" i="2"/>
  <c r="AF1691" i="2"/>
  <c r="AK1691" i="2" s="1"/>
  <c r="AG1691" i="2"/>
  <c r="AH1691" i="2"/>
  <c r="AI1691" i="2"/>
  <c r="AJ1691" i="2"/>
  <c r="AF1692" i="2"/>
  <c r="AK1692" i="2"/>
  <c r="AG1692" i="2"/>
  <c r="AL1692" i="2" s="1"/>
  <c r="AH1692" i="2"/>
  <c r="AI1692" i="2"/>
  <c r="AJ1692" i="2"/>
  <c r="AF1693" i="2"/>
  <c r="AK1693" i="2"/>
  <c r="AG1693" i="2"/>
  <c r="AH1693" i="2"/>
  <c r="AI1693" i="2"/>
  <c r="AL1693" i="2" s="1"/>
  <c r="AJ1693" i="2"/>
  <c r="AF1694" i="2"/>
  <c r="AK1694" i="2" s="1"/>
  <c r="AG1694" i="2"/>
  <c r="AH1694" i="2"/>
  <c r="AI1694" i="2"/>
  <c r="AJ1694" i="2"/>
  <c r="AF1695" i="2"/>
  <c r="AK1695" i="2"/>
  <c r="AL1695" i="2" s="1"/>
  <c r="AG1695" i="2"/>
  <c r="AH1695" i="2"/>
  <c r="AI1695" i="2"/>
  <c r="AJ1695" i="2"/>
  <c r="AF1696" i="2"/>
  <c r="AK1696" i="2"/>
  <c r="AG1696" i="2"/>
  <c r="AH1696" i="2"/>
  <c r="AL1696" i="2" s="1"/>
  <c r="AI1696" i="2"/>
  <c r="AJ1696" i="2"/>
  <c r="AF1697" i="2"/>
  <c r="AK1697" i="2"/>
  <c r="AG1697" i="2"/>
  <c r="AH1697" i="2"/>
  <c r="AI1697" i="2"/>
  <c r="AJ1697" i="2"/>
  <c r="AL1697" i="2" s="1"/>
  <c r="AF1698" i="2"/>
  <c r="AK1698" i="2" s="1"/>
  <c r="AG1698" i="2"/>
  <c r="AH1698" i="2"/>
  <c r="AI1698" i="2"/>
  <c r="AJ1698" i="2"/>
  <c r="AF1699" i="2"/>
  <c r="AK1699" i="2" s="1"/>
  <c r="AG1699" i="2"/>
  <c r="AH1699" i="2"/>
  <c r="AI1699" i="2"/>
  <c r="AJ1699" i="2"/>
  <c r="AF1700" i="2"/>
  <c r="AK1700" i="2"/>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s="1"/>
  <c r="AG1710" i="2"/>
  <c r="AH1710" i="2"/>
  <c r="AI1710" i="2"/>
  <c r="AJ1710" i="2"/>
  <c r="AF1711" i="2"/>
  <c r="AK1711" i="2" s="1"/>
  <c r="AG1711" i="2"/>
  <c r="AH1711" i="2"/>
  <c r="AI1711" i="2"/>
  <c r="AJ1711" i="2"/>
  <c r="AF1712" i="2"/>
  <c r="AK1712" i="2"/>
  <c r="AG1712" i="2"/>
  <c r="AH1712" i="2"/>
  <c r="AI1712" i="2"/>
  <c r="AJ1712" i="2"/>
  <c r="AF1713" i="2"/>
  <c r="AK1713" i="2"/>
  <c r="AG1713" i="2"/>
  <c r="AH1713" i="2"/>
  <c r="AI1713" i="2"/>
  <c r="AJ1713" i="2"/>
  <c r="AF1714" i="2"/>
  <c r="AK1714" i="2" s="1"/>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s="1"/>
  <c r="AG1722" i="2"/>
  <c r="AH1722" i="2"/>
  <c r="AI1722" i="2"/>
  <c r="AJ1722" i="2"/>
  <c r="AF1723" i="2"/>
  <c r="AK1723" i="2" s="1"/>
  <c r="AG1723" i="2"/>
  <c r="AH1723" i="2"/>
  <c r="AI1723" i="2"/>
  <c r="AJ1723" i="2"/>
  <c r="AF1724" i="2"/>
  <c r="AK1724" i="2"/>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s="1"/>
  <c r="AG1742" i="2"/>
  <c r="AH1742" i="2"/>
  <c r="AI1742" i="2"/>
  <c r="AJ1742" i="2"/>
  <c r="AF1743" i="2"/>
  <c r="AK1743" i="2" s="1"/>
  <c r="AG1743" i="2"/>
  <c r="AH1743" i="2"/>
  <c r="AI1743" i="2"/>
  <c r="AJ1743" i="2"/>
  <c r="AF1744" i="2"/>
  <c r="AK1744" i="2"/>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s="1"/>
  <c r="AG1754" i="2"/>
  <c r="AH1754" i="2"/>
  <c r="AI1754" i="2"/>
  <c r="AJ1754" i="2"/>
  <c r="AF1755" i="2"/>
  <c r="AK1755" i="2" s="1"/>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L1758" i="2" s="1"/>
  <c r="AF1759" i="2"/>
  <c r="AK1759" i="2"/>
  <c r="AG1759" i="2"/>
  <c r="AH1759" i="2"/>
  <c r="AI1759" i="2"/>
  <c r="AJ1759" i="2"/>
  <c r="AF1760" i="2"/>
  <c r="AK1760" i="2"/>
  <c r="AL1760" i="2" s="1"/>
  <c r="AG1760" i="2"/>
  <c r="AH1760" i="2"/>
  <c r="AI1760" i="2"/>
  <c r="AJ1760" i="2"/>
  <c r="AF1761" i="2"/>
  <c r="AK1761" i="2"/>
  <c r="AG1761" i="2"/>
  <c r="AH1761" i="2"/>
  <c r="AL1761" i="2" s="1"/>
  <c r="AI1761" i="2"/>
  <c r="AJ1761" i="2"/>
  <c r="AF1762" i="2"/>
  <c r="AK1762" i="2" s="1"/>
  <c r="AG1762" i="2"/>
  <c r="AH1762" i="2"/>
  <c r="AI1762" i="2"/>
  <c r="AJ1762" i="2"/>
  <c r="AF1763" i="2"/>
  <c r="AK1763" i="2" s="1"/>
  <c r="AG1763" i="2"/>
  <c r="AH1763" i="2"/>
  <c r="AI1763" i="2"/>
  <c r="AJ1763" i="2"/>
  <c r="AF1764" i="2"/>
  <c r="AK1764" i="2"/>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s="1"/>
  <c r="AG1774" i="2"/>
  <c r="AH1774" i="2"/>
  <c r="AI1774" i="2"/>
  <c r="AJ1774" i="2"/>
  <c r="AF1775" i="2"/>
  <c r="AK1775" i="2" s="1"/>
  <c r="AG1775" i="2"/>
  <c r="AH1775" i="2"/>
  <c r="AI1775" i="2"/>
  <c r="AJ1775" i="2"/>
  <c r="AF1776" i="2"/>
  <c r="AK1776" i="2"/>
  <c r="AG1776" i="2"/>
  <c r="AL1776" i="2" s="1"/>
  <c r="AH1776" i="2"/>
  <c r="AI1776" i="2"/>
  <c r="AJ1776" i="2"/>
  <c r="AF1777" i="2"/>
  <c r="AK1777" i="2" s="1"/>
  <c r="AG1777" i="2"/>
  <c r="AH1777" i="2"/>
  <c r="AI1777" i="2"/>
  <c r="AJ1777" i="2"/>
  <c r="AF1778" i="2"/>
  <c r="AK1778" i="2"/>
  <c r="AG1778" i="2"/>
  <c r="AH1778" i="2"/>
  <c r="AI1778" i="2"/>
  <c r="AL1778" i="2" s="1"/>
  <c r="AJ1778" i="2"/>
  <c r="AF1779" i="2"/>
  <c r="AK1779" i="2" s="1"/>
  <c r="AG1779" i="2"/>
  <c r="AH1779" i="2"/>
  <c r="AI1779" i="2"/>
  <c r="AJ1779" i="2"/>
  <c r="AF1780" i="2"/>
  <c r="AK1780" i="2"/>
  <c r="AL1780" i="2" s="1"/>
  <c r="AG1780" i="2"/>
  <c r="AH1780" i="2"/>
  <c r="AI1780" i="2"/>
  <c r="AJ1780" i="2"/>
  <c r="AF1781" i="2"/>
  <c r="AK1781" i="2" s="1"/>
  <c r="AG1781" i="2"/>
  <c r="AH1781" i="2"/>
  <c r="AI1781" i="2"/>
  <c r="AJ1781" i="2"/>
  <c r="AF1782" i="2"/>
  <c r="AK1782" i="2"/>
  <c r="AG1782" i="2"/>
  <c r="AH1782" i="2"/>
  <c r="AI1782" i="2"/>
  <c r="AJ1782" i="2"/>
  <c r="AF1783" i="2"/>
  <c r="AK1783" i="2" s="1"/>
  <c r="AL1783" i="2" s="1"/>
  <c r="AG1783" i="2"/>
  <c r="AH1783" i="2"/>
  <c r="AI1783" i="2"/>
  <c r="AJ1783" i="2"/>
  <c r="AF1784" i="2"/>
  <c r="AK1784" i="2"/>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L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s="1"/>
  <c r="AG1799" i="2"/>
  <c r="AH1799" i="2"/>
  <c r="AI1799" i="2"/>
  <c r="AJ1799" i="2"/>
  <c r="AF1800" i="2"/>
  <c r="AK1800" i="2" s="1"/>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s="1"/>
  <c r="AG1811" i="2"/>
  <c r="AH1811" i="2"/>
  <c r="AI1811" i="2"/>
  <c r="AJ1811" i="2"/>
  <c r="AF1812" i="2"/>
  <c r="AK1812" i="2" s="1"/>
  <c r="AG1812" i="2"/>
  <c r="AH1812" i="2"/>
  <c r="AI1812" i="2"/>
  <c r="AJ1812" i="2"/>
  <c r="AF1813" i="2"/>
  <c r="AK1813" i="2"/>
  <c r="AG1813" i="2"/>
  <c r="AH1813" i="2"/>
  <c r="AI1813" i="2"/>
  <c r="AJ1813" i="2"/>
  <c r="AF1814" i="2"/>
  <c r="AK1814" i="2"/>
  <c r="AG1814" i="2"/>
  <c r="AH1814" i="2"/>
  <c r="AI1814" i="2"/>
  <c r="AJ1814" i="2"/>
  <c r="AF1815" i="2"/>
  <c r="AK1815" i="2" s="1"/>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L1842" i="2" s="1"/>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L1858" i="2" s="1"/>
  <c r="AI1858" i="2"/>
  <c r="AJ1858" i="2"/>
  <c r="AF1859" i="2"/>
  <c r="AK1859" i="2"/>
  <c r="AG1859" i="2"/>
  <c r="AH1859" i="2"/>
  <c r="AI1859" i="2"/>
  <c r="AJ1859" i="2"/>
  <c r="AL1859" i="2" s="1"/>
  <c r="AF1860" i="2"/>
  <c r="AK1860" i="2" s="1"/>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c r="AG1883" i="2"/>
  <c r="AH1883" i="2"/>
  <c r="AI1883" i="2"/>
  <c r="AJ1883" i="2"/>
  <c r="AF1884" i="2"/>
  <c r="AK1884" i="2" s="1"/>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s="1"/>
  <c r="AG1888" i="2"/>
  <c r="AH1888" i="2"/>
  <c r="AI1888" i="2"/>
  <c r="AJ1888" i="2"/>
  <c r="AF1889" i="2"/>
  <c r="AK1889" i="2" s="1"/>
  <c r="AG1889" i="2"/>
  <c r="AH1889" i="2"/>
  <c r="AI1889" i="2"/>
  <c r="AJ1889" i="2"/>
  <c r="AF1890" i="2"/>
  <c r="AK1890" i="2"/>
  <c r="AG1890" i="2"/>
  <c r="AH1890" i="2"/>
  <c r="AI1890" i="2"/>
  <c r="AJ1890" i="2"/>
  <c r="AF1891" i="2"/>
  <c r="AK1891" i="2"/>
  <c r="AG1891" i="2"/>
  <c r="AH1891" i="2"/>
  <c r="AI1891" i="2"/>
  <c r="AJ1891" i="2"/>
  <c r="AF1892" i="2"/>
  <c r="AK1892" i="2" s="1"/>
  <c r="AG1892" i="2"/>
  <c r="AH1892" i="2"/>
  <c r="AI1892" i="2"/>
  <c r="AJ1892" i="2"/>
  <c r="AF1893" i="2"/>
  <c r="AK1893" i="2" s="1"/>
  <c r="AG1893" i="2"/>
  <c r="AH1893" i="2"/>
  <c r="AI1893" i="2"/>
  <c r="AJ1893" i="2"/>
  <c r="AF1894" i="2"/>
  <c r="AK1894" i="2"/>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c r="AG1902" i="2"/>
  <c r="AL1902" i="2" s="1"/>
  <c r="AH1902" i="2"/>
  <c r="AI1902" i="2"/>
  <c r="AJ1902" i="2"/>
  <c r="AF1903" i="2"/>
  <c r="AK1903" i="2"/>
  <c r="AG1903" i="2"/>
  <c r="AH1903" i="2"/>
  <c r="AI1903" i="2"/>
  <c r="AL1903" i="2" s="1"/>
  <c r="AJ1903" i="2"/>
  <c r="AF1904" i="2"/>
  <c r="AK1904" i="2" s="1"/>
  <c r="AG1904" i="2"/>
  <c r="AH1904" i="2"/>
  <c r="AI1904" i="2"/>
  <c r="AJ1904" i="2"/>
  <c r="AF1905" i="2"/>
  <c r="AK1905" i="2"/>
  <c r="AG1905" i="2"/>
  <c r="AH1905" i="2"/>
  <c r="AI1905" i="2"/>
  <c r="AJ1905" i="2"/>
  <c r="AF1906" i="2"/>
  <c r="AK1906" i="2"/>
  <c r="AG1906" i="2"/>
  <c r="AH1906" i="2"/>
  <c r="AL1906" i="2" s="1"/>
  <c r="AI1906" i="2"/>
  <c r="AJ1906" i="2"/>
  <c r="AF1907" i="2"/>
  <c r="AK1907" i="2"/>
  <c r="AG1907" i="2"/>
  <c r="AH1907" i="2"/>
  <c r="AI1907" i="2"/>
  <c r="AJ1907" i="2"/>
  <c r="AL1907" i="2" s="1"/>
  <c r="AF1908" i="2"/>
  <c r="AK1908" i="2" s="1"/>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s="1"/>
  <c r="AG1921" i="2"/>
  <c r="AH1921" i="2"/>
  <c r="AI1921" i="2"/>
  <c r="AJ1921" i="2"/>
  <c r="AF1922" i="2"/>
  <c r="AK1922" i="2"/>
  <c r="AL1922" i="2" s="1"/>
  <c r="AG1922" i="2"/>
  <c r="AH1922" i="2"/>
  <c r="AI1922" i="2"/>
  <c r="AJ1922" i="2"/>
  <c r="AF1923" i="2"/>
  <c r="AK1923" i="2"/>
  <c r="AG1923" i="2"/>
  <c r="AH1923" i="2"/>
  <c r="AL1923" i="2" s="1"/>
  <c r="AI1923" i="2"/>
  <c r="AJ1923" i="2"/>
  <c r="AF1924" i="2"/>
  <c r="AK1924" i="2" s="1"/>
  <c r="AG1924" i="2"/>
  <c r="AH1924" i="2"/>
  <c r="AI1924" i="2"/>
  <c r="AJ1924" i="2"/>
  <c r="AF1925" i="2"/>
  <c r="AK1925" i="2" s="1"/>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c r="AG1966" i="2"/>
  <c r="AL1966" i="2" s="1"/>
  <c r="AH1966" i="2"/>
  <c r="AI1966" i="2"/>
  <c r="AJ1966" i="2"/>
  <c r="AF1967" i="2"/>
  <c r="AK1967" i="2"/>
  <c r="AG1967" i="2"/>
  <c r="AH1967" i="2"/>
  <c r="AI1967" i="2"/>
  <c r="AL1967" i="2" s="1"/>
  <c r="AJ1967" i="2"/>
  <c r="AF1968" i="2"/>
  <c r="AK1968" i="2" s="1"/>
  <c r="AG1968" i="2"/>
  <c r="AH1968" i="2"/>
  <c r="AI1968" i="2"/>
  <c r="AJ1968" i="2"/>
  <c r="AF1969" i="2"/>
  <c r="AK1969" i="2"/>
  <c r="AG1969" i="2"/>
  <c r="AH1969" i="2"/>
  <c r="AI1969" i="2"/>
  <c r="AJ1969" i="2"/>
  <c r="AF1970" i="2"/>
  <c r="AK1970" i="2"/>
  <c r="AG1970" i="2"/>
  <c r="AH1970" i="2"/>
  <c r="AL1970" i="2" s="1"/>
  <c r="AI1970" i="2"/>
  <c r="AJ1970" i="2"/>
  <c r="AF1971" i="2"/>
  <c r="AK1971" i="2"/>
  <c r="AG1971" i="2"/>
  <c r="AH1971" i="2"/>
  <c r="AI1971" i="2"/>
  <c r="AL1971" i="2" s="1"/>
  <c r="AJ1971" i="2"/>
  <c r="AF1972" i="2"/>
  <c r="AK1972" i="2"/>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c r="AG1980" i="2"/>
  <c r="AH1980" i="2"/>
  <c r="AI1980" i="2"/>
  <c r="AJ1980" i="2"/>
  <c r="AF1981" i="2"/>
  <c r="AK1981" i="2" s="1"/>
  <c r="AG1981" i="2"/>
  <c r="AH1981" i="2"/>
  <c r="AI1981" i="2"/>
  <c r="AJ1981" i="2"/>
  <c r="AF1982" i="2"/>
  <c r="AK1982" i="2"/>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s="1"/>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s="1"/>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c r="AG2004" i="2"/>
  <c r="AH2004" i="2"/>
  <c r="AI2004" i="2"/>
  <c r="AJ2004" i="2"/>
  <c r="AF2005" i="2"/>
  <c r="AK2005" i="2" s="1"/>
  <c r="AG2005" i="2"/>
  <c r="AH2005" i="2"/>
  <c r="AI2005" i="2"/>
  <c r="AJ2005" i="2"/>
  <c r="AF2006" i="2"/>
  <c r="AK2006" i="2" s="1"/>
  <c r="AG2006" i="2"/>
  <c r="AH2006" i="2"/>
  <c r="AI2006" i="2"/>
  <c r="AJ2006" i="2"/>
  <c r="AF2007" i="2"/>
  <c r="AK2007" i="2" s="1"/>
  <c r="AG2007" i="2"/>
  <c r="AH2007" i="2"/>
  <c r="AI2007" i="2"/>
  <c r="AJ2007" i="2"/>
  <c r="AF2008" i="2"/>
  <c r="AK2008" i="2"/>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s="1"/>
  <c r="AG2014" i="2"/>
  <c r="AH2014" i="2"/>
  <c r="AI2014" i="2"/>
  <c r="AJ2014" i="2"/>
  <c r="AF2015" i="2"/>
  <c r="AK2015" i="2"/>
  <c r="AG2015" i="2"/>
  <c r="AL2015" i="2" s="1"/>
  <c r="AH2015" i="2"/>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c r="AG2028" i="2"/>
  <c r="AH2028" i="2"/>
  <c r="AI2028" i="2"/>
  <c r="AJ2028" i="2"/>
  <c r="AF2029" i="2"/>
  <c r="AK2029" i="2"/>
  <c r="AG2029" i="2"/>
  <c r="AH2029" i="2"/>
  <c r="AI2029" i="2"/>
  <c r="AJ2029" i="2"/>
  <c r="AF2030" i="2"/>
  <c r="AK2030" i="2"/>
  <c r="AG2030" i="2"/>
  <c r="AH2030" i="2"/>
  <c r="AI2030" i="2"/>
  <c r="AJ2030" i="2"/>
  <c r="AF2031" i="2"/>
  <c r="AK2031" i="2" s="1"/>
  <c r="AG2031" i="2"/>
  <c r="AH2031" i="2"/>
  <c r="AI2031" i="2"/>
  <c r="AJ2031" i="2"/>
  <c r="AF2032" i="2"/>
  <c r="AK2032" i="2" s="1"/>
  <c r="AG2032" i="2"/>
  <c r="AL2032" i="2" s="1"/>
  <c r="AH2032" i="2"/>
  <c r="AI2032" i="2"/>
  <c r="AJ2032" i="2"/>
  <c r="AF2033" i="2"/>
  <c r="AK2033" i="2"/>
  <c r="AG2033" i="2"/>
  <c r="AH2033" i="2"/>
  <c r="AI2033" i="2"/>
  <c r="AL2033" i="2" s="1"/>
  <c r="AJ2033" i="2"/>
  <c r="AF2034" i="2"/>
  <c r="AK2034" i="2"/>
  <c r="AG2034" i="2"/>
  <c r="AH2034" i="2"/>
  <c r="AI2034" i="2"/>
  <c r="AJ2034" i="2"/>
  <c r="AF2035" i="2"/>
  <c r="AK2035" i="2" s="1"/>
  <c r="AL2035" i="2" s="1"/>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s="1"/>
  <c r="AG2051" i="2"/>
  <c r="AH2051" i="2"/>
  <c r="AI2051" i="2"/>
  <c r="AJ2051" i="2"/>
  <c r="AF2052" i="2"/>
  <c r="AK2052" i="2" s="1"/>
  <c r="AL2052" i="2" s="1"/>
  <c r="AG2052" i="2"/>
  <c r="AH2052" i="2"/>
  <c r="AI2052" i="2"/>
  <c r="AJ2052" i="2"/>
  <c r="AF2053" i="2"/>
  <c r="AK2053" i="2"/>
  <c r="AG2053" i="2"/>
  <c r="AH2053" i="2"/>
  <c r="AI2053" i="2"/>
  <c r="AJ2053" i="2"/>
  <c r="AF2054" i="2"/>
  <c r="AK2054" i="2"/>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c r="AG2058" i="2"/>
  <c r="AH2058" i="2"/>
  <c r="AI2058" i="2"/>
  <c r="AJ2058" i="2"/>
  <c r="AF2059" i="2"/>
  <c r="AK2059" i="2" s="1"/>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c r="AG2066" i="2"/>
  <c r="AH2066" i="2"/>
  <c r="AI2066" i="2"/>
  <c r="AJ2066" i="2"/>
  <c r="AF2067" i="2"/>
  <c r="AK2067" i="2" s="1"/>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c r="AG2103" i="2"/>
  <c r="AH2103" i="2"/>
  <c r="AI2103" i="2"/>
  <c r="AJ2103" i="2"/>
  <c r="AF2104" i="2"/>
  <c r="AK2104" i="2" s="1"/>
  <c r="AG2104" i="2"/>
  <c r="AH2104" i="2"/>
  <c r="AI2104" i="2"/>
  <c r="AJ2104" i="2"/>
  <c r="AF2105" i="2"/>
  <c r="AK2105" i="2" s="1"/>
  <c r="AG2105" i="2"/>
  <c r="AH2105" i="2"/>
  <c r="AI2105" i="2"/>
  <c r="AJ2105" i="2"/>
  <c r="AF2106" i="2"/>
  <c r="AK2106" i="2"/>
  <c r="AG2106" i="2"/>
  <c r="AL2106" i="2" s="1"/>
  <c r="AH2106" i="2"/>
  <c r="AI2106" i="2"/>
  <c r="AJ2106" i="2"/>
  <c r="AF2107" i="2"/>
  <c r="AK2107" i="2"/>
  <c r="AG2107" i="2"/>
  <c r="AH2107" i="2"/>
  <c r="AI2107" i="2"/>
  <c r="AL2107" i="2" s="1"/>
  <c r="AJ2107" i="2"/>
  <c r="AF2108" i="2"/>
  <c r="AK2108" i="2" s="1"/>
  <c r="AG2108" i="2"/>
  <c r="AH2108" i="2"/>
  <c r="AI2108" i="2"/>
  <c r="AJ2108" i="2"/>
  <c r="AF2109" i="2"/>
  <c r="AK2109" i="2"/>
  <c r="AL2109" i="2" s="1"/>
  <c r="AG2109" i="2"/>
  <c r="AH2109" i="2"/>
  <c r="AI2109" i="2"/>
  <c r="AJ2109" i="2"/>
  <c r="AF2110" i="2"/>
  <c r="AK2110" i="2"/>
  <c r="AG2110" i="2"/>
  <c r="AH2110" i="2"/>
  <c r="AL2110" i="2" s="1"/>
  <c r="AI2110" i="2"/>
  <c r="AJ2110" i="2"/>
  <c r="AF2111" i="2"/>
  <c r="AK2111" i="2"/>
  <c r="AG2111" i="2"/>
  <c r="AH2111" i="2"/>
  <c r="AI2111" i="2"/>
  <c r="AJ2111" i="2"/>
  <c r="AL2111" i="2" s="1"/>
  <c r="AF2112" i="2"/>
  <c r="AK2112" i="2" s="1"/>
  <c r="AG2112" i="2"/>
  <c r="AH2112" i="2"/>
  <c r="AI2112" i="2"/>
  <c r="AJ2112" i="2"/>
  <c r="AF2113" i="2"/>
  <c r="AK2113" i="2" s="1"/>
  <c r="AG2113" i="2"/>
  <c r="AH2113" i="2"/>
  <c r="AI2113" i="2"/>
  <c r="AJ2113" i="2"/>
  <c r="AF2114" i="2"/>
  <c r="AK2114" i="2"/>
  <c r="AG2114" i="2"/>
  <c r="AH2114" i="2"/>
  <c r="AI2114" i="2"/>
  <c r="AJ2114" i="2"/>
  <c r="AF2115" i="2"/>
  <c r="AK2115" i="2"/>
  <c r="AG2115" i="2"/>
  <c r="AH2115" i="2"/>
  <c r="AI2115" i="2"/>
  <c r="AJ2115" i="2"/>
  <c r="AF2116" i="2"/>
  <c r="AK2116" i="2" s="1"/>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s="1"/>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s="1"/>
  <c r="AG2124" i="2"/>
  <c r="AH2124" i="2"/>
  <c r="AI2124" i="2"/>
  <c r="AJ2124" i="2"/>
  <c r="AF2125" i="2"/>
  <c r="AK2125" i="2" s="1"/>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s="1"/>
  <c r="AG2132" i="2"/>
  <c r="AH2132" i="2"/>
  <c r="AI2132" i="2"/>
  <c r="AJ2132" i="2"/>
  <c r="AF2133" i="2"/>
  <c r="AK2133" i="2" s="1"/>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s="1"/>
  <c r="AG2148" i="2"/>
  <c r="AH2148" i="2"/>
  <c r="AI2148" i="2"/>
  <c r="AJ2148" i="2"/>
  <c r="AF2149" i="2"/>
  <c r="AK2149" i="2"/>
  <c r="AL2149" i="2" s="1"/>
  <c r="AG2149" i="2"/>
  <c r="AH2149" i="2"/>
  <c r="AI2149" i="2"/>
  <c r="AJ2149" i="2"/>
  <c r="AF2150" i="2"/>
  <c r="AK2150" i="2" s="1"/>
  <c r="AG2150" i="2"/>
  <c r="AH2150" i="2"/>
  <c r="AI2150" i="2"/>
  <c r="AJ2150" i="2"/>
  <c r="AF2151" i="2"/>
  <c r="AK2151" i="2"/>
  <c r="AG2151" i="2"/>
  <c r="AL2151" i="2" s="1"/>
  <c r="AH2151" i="2"/>
  <c r="AI2151" i="2"/>
  <c r="AJ2151" i="2"/>
  <c r="AF2152" i="2"/>
  <c r="AK2152" i="2"/>
  <c r="AG2152" i="2"/>
  <c r="AH2152" i="2"/>
  <c r="AI2152" i="2"/>
  <c r="AJ2152" i="2"/>
  <c r="AF2153" i="2"/>
  <c r="AK2153" i="2" s="1"/>
  <c r="AG2153" i="2"/>
  <c r="AH2153" i="2"/>
  <c r="AI2153" i="2"/>
  <c r="AJ2153" i="2"/>
  <c r="AF2154" i="2"/>
  <c r="AK2154" i="2" s="1"/>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c r="AG2173" i="2"/>
  <c r="AH2173" i="2"/>
  <c r="AI2173" i="2"/>
  <c r="AJ2173" i="2"/>
  <c r="AF2174" i="2"/>
  <c r="AK2174" i="2" s="1"/>
  <c r="AG2174" i="2"/>
  <c r="AH2174" i="2"/>
  <c r="AI2174" i="2"/>
  <c r="AJ2174" i="2"/>
  <c r="AF2175" i="2"/>
  <c r="AK2175" i="2"/>
  <c r="AG2175" i="2"/>
  <c r="AH2175" i="2"/>
  <c r="AI2175" i="2"/>
  <c r="AJ2175" i="2"/>
  <c r="AF2176" i="2"/>
  <c r="AK2176" i="2"/>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s="1"/>
  <c r="AL2183" i="2" s="1"/>
  <c r="AG2183" i="2"/>
  <c r="AH2183" i="2"/>
  <c r="AI2183" i="2"/>
  <c r="AJ2183" i="2"/>
  <c r="AF2184" i="2"/>
  <c r="AK2184" i="2"/>
  <c r="AG2184" i="2"/>
  <c r="AL2184" i="2" s="1"/>
  <c r="AH2184" i="2"/>
  <c r="AI2184" i="2"/>
  <c r="AJ2184" i="2"/>
  <c r="AF2185" i="2"/>
  <c r="AK2185" i="2"/>
  <c r="AG2185" i="2"/>
  <c r="AH2185" i="2"/>
  <c r="AI2185" i="2"/>
  <c r="AJ2185" i="2"/>
  <c r="AF2186" i="2"/>
  <c r="AK2186" i="2"/>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c r="AG2190" i="2"/>
  <c r="AH2190" i="2"/>
  <c r="AI2190" i="2"/>
  <c r="AJ2190" i="2"/>
  <c r="AF2191" i="2"/>
  <c r="AK2191" i="2" s="1"/>
  <c r="AG2191" i="2"/>
  <c r="AH2191" i="2"/>
  <c r="AL2191" i="2" s="1"/>
  <c r="AI2191" i="2"/>
  <c r="AJ2191" i="2"/>
  <c r="AF2192" i="2"/>
  <c r="AK2192" i="2" s="1"/>
  <c r="AG2192" i="2"/>
  <c r="AH2192" i="2"/>
  <c r="AI2192" i="2"/>
  <c r="AJ2192" i="2"/>
  <c r="AF2193" i="2"/>
  <c r="AK2193" i="2"/>
  <c r="AG2193" i="2"/>
  <c r="AH2193" i="2"/>
  <c r="AI2193" i="2"/>
  <c r="AJ2193" i="2"/>
  <c r="AF2194" i="2"/>
  <c r="AK2194" i="2"/>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s="1"/>
  <c r="AG2199" i="2"/>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c r="AG2203" i="2"/>
  <c r="AH2203" i="2"/>
  <c r="AI2203" i="2"/>
  <c r="AJ2203" i="2"/>
  <c r="AF2204" i="2"/>
  <c r="AK2204" i="2" s="1"/>
  <c r="AG2204" i="2"/>
  <c r="AH2204" i="2"/>
  <c r="AI2204" i="2"/>
  <c r="AJ2204" i="2"/>
  <c r="AF2205" i="2"/>
  <c r="AK2205" i="2"/>
  <c r="AG2205" i="2"/>
  <c r="AH2205" i="2"/>
  <c r="AI2205" i="2"/>
  <c r="AJ2205" i="2"/>
  <c r="AF2206" i="2"/>
  <c r="AK2206" i="2"/>
  <c r="AG2206" i="2"/>
  <c r="AH2206" i="2"/>
  <c r="AI2206" i="2"/>
  <c r="AJ2206" i="2"/>
  <c r="AF2207" i="2"/>
  <c r="AK2207" i="2" s="1"/>
  <c r="AG2207" i="2"/>
  <c r="AH2207" i="2"/>
  <c r="AL2207" i="2" s="1"/>
  <c r="AI2207" i="2"/>
  <c r="AJ2207" i="2"/>
  <c r="AF2208" i="2"/>
  <c r="AK2208" i="2" s="1"/>
  <c r="AG2208" i="2"/>
  <c r="AH2208" i="2"/>
  <c r="AI2208" i="2"/>
  <c r="AJ2208" i="2"/>
  <c r="AF2209" i="2"/>
  <c r="AK2209" i="2" s="1"/>
  <c r="AL2209" i="2" s="1"/>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s="1"/>
  <c r="AG2216" i="2"/>
  <c r="AL2216" i="2" s="1"/>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L2243" i="2" s="1"/>
  <c r="AG2243" i="2"/>
  <c r="AH2243" i="2"/>
  <c r="AI2243" i="2"/>
  <c r="AJ2243" i="2"/>
  <c r="AF2244" i="2"/>
  <c r="AK2244" i="2" s="1"/>
  <c r="AG2244" i="2"/>
  <c r="AH2244" i="2"/>
  <c r="AI2244" i="2"/>
  <c r="AL2244" i="2" s="1"/>
  <c r="AJ2244" i="2"/>
  <c r="AF2245" i="2"/>
  <c r="AK2245" i="2" s="1"/>
  <c r="AG2245" i="2"/>
  <c r="AH2245" i="2"/>
  <c r="AI2245" i="2"/>
  <c r="AJ2245" i="2"/>
  <c r="AF2246" i="2"/>
  <c r="AK2246" i="2"/>
  <c r="AL2246" i="2" s="1"/>
  <c r="AG2246" i="2"/>
  <c r="AH2246" i="2"/>
  <c r="AI2246" i="2"/>
  <c r="AJ2246" i="2"/>
  <c r="AF2247" i="2"/>
  <c r="AK2247" i="2"/>
  <c r="AG2247" i="2"/>
  <c r="AH2247" i="2"/>
  <c r="AL2247" i="2" s="1"/>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c r="AL2255" i="2" s="1"/>
  <c r="AG2255" i="2"/>
  <c r="AH2255" i="2"/>
  <c r="AI2255" i="2"/>
  <c r="AJ2255" i="2"/>
  <c r="AF2256" i="2"/>
  <c r="AK2256" i="2"/>
  <c r="AG2256" i="2"/>
  <c r="AH2256" i="2"/>
  <c r="AI2256" i="2"/>
  <c r="AJ2256" i="2"/>
  <c r="AF2257" i="2"/>
  <c r="AK2257" i="2"/>
  <c r="AG2257" i="2"/>
  <c r="AH2257" i="2"/>
  <c r="AI2257" i="2"/>
  <c r="AJ2257" i="2"/>
  <c r="AF2258" i="2"/>
  <c r="AK2258" i="2" s="1"/>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s="1"/>
  <c r="AG2262" i="2"/>
  <c r="AH2262" i="2"/>
  <c r="AI2262" i="2"/>
  <c r="AJ2262" i="2"/>
  <c r="AF2263" i="2"/>
  <c r="AK2263" i="2" s="1"/>
  <c r="AG2263" i="2"/>
  <c r="AL2263" i="2" s="1"/>
  <c r="AH2263" i="2"/>
  <c r="AI2263" i="2"/>
  <c r="AJ2263" i="2"/>
  <c r="AF2264" i="2"/>
  <c r="AK2264" i="2"/>
  <c r="AL2264" i="2"/>
  <c r="AG2264" i="2"/>
  <c r="AH2264" i="2"/>
  <c r="AI2264" i="2"/>
  <c r="AJ2264" i="2"/>
  <c r="AF2265" i="2"/>
  <c r="AK2265" i="2"/>
  <c r="AG2265" i="2"/>
  <c r="AH2265" i="2"/>
  <c r="AI2265" i="2"/>
  <c r="AJ2265" i="2"/>
  <c r="AF2266" i="2"/>
  <c r="AK2266" i="2"/>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L2282" i="2" s="1"/>
  <c r="AJ2282" i="2"/>
  <c r="AF2283" i="2"/>
  <c r="AK2283" i="2"/>
  <c r="AG2283" i="2"/>
  <c r="AH2283" i="2"/>
  <c r="AI2283" i="2"/>
  <c r="AJ2283" i="2"/>
  <c r="AF2284" i="2"/>
  <c r="AK2284" i="2" s="1"/>
  <c r="AG2284" i="2"/>
  <c r="AH2284" i="2"/>
  <c r="AI2284" i="2"/>
  <c r="AJ2284" i="2"/>
  <c r="AF2285" i="2"/>
  <c r="AK2285" i="2" s="1"/>
  <c r="AL2285" i="2" s="1"/>
  <c r="AG2285" i="2"/>
  <c r="AH2285" i="2"/>
  <c r="AI2285" i="2"/>
  <c r="AJ2285" i="2"/>
  <c r="AF2286" i="2"/>
  <c r="AK2286" i="2"/>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c r="AG2294" i="2"/>
  <c r="AH2294" i="2"/>
  <c r="AI2294" i="2"/>
  <c r="AJ2294" i="2"/>
  <c r="AF2295" i="2"/>
  <c r="AK2295" i="2"/>
  <c r="AG2295" i="2"/>
  <c r="AH2295" i="2"/>
  <c r="AI2295" i="2"/>
  <c r="AJ2295" i="2"/>
  <c r="AF2296" i="2"/>
  <c r="AK2296" i="2" s="1"/>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L2300" i="2" s="1"/>
  <c r="AF2301" i="2"/>
  <c r="AK2301" i="2" s="1"/>
  <c r="AG2301" i="2"/>
  <c r="AH2301" i="2"/>
  <c r="AI2301" i="2"/>
  <c r="AJ2301" i="2"/>
  <c r="AF2302" i="2"/>
  <c r="AK2302" i="2"/>
  <c r="AG2302" i="2"/>
  <c r="AH2302" i="2"/>
  <c r="AI2302" i="2"/>
  <c r="AJ2302" i="2"/>
  <c r="AF2303" i="2"/>
  <c r="AK2303" i="2" s="1"/>
  <c r="AG2303" i="2"/>
  <c r="AH2303" i="2"/>
  <c r="AL2303" i="2" s="1"/>
  <c r="AI2303" i="2"/>
  <c r="AJ2303" i="2"/>
  <c r="AF2304" i="2"/>
  <c r="AK2304" i="2"/>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s="1"/>
  <c r="AG2313" i="2"/>
  <c r="AH2313" i="2"/>
  <c r="AI2313" i="2"/>
  <c r="AJ2313" i="2"/>
  <c r="AF2314" i="2"/>
  <c r="AK2314" i="2"/>
  <c r="AL2314" i="2"/>
  <c r="AG2314" i="2"/>
  <c r="AH2314" i="2"/>
  <c r="AI2314" i="2"/>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s="1"/>
  <c r="AL2318" i="2" s="1"/>
  <c r="AG2318" i="2"/>
  <c r="AH2318" i="2"/>
  <c r="AI2318" i="2"/>
  <c r="AJ2318" i="2"/>
  <c r="AF2319" i="2"/>
  <c r="AK2319" i="2"/>
  <c r="AG2319" i="2"/>
  <c r="AH2319" i="2"/>
  <c r="AI2319" i="2"/>
  <c r="AJ2319" i="2"/>
  <c r="AF2320" i="2"/>
  <c r="AK2320" i="2" s="1"/>
  <c r="AG2320" i="2"/>
  <c r="AH2320" i="2"/>
  <c r="AI2320" i="2"/>
  <c r="AL2320" i="2" s="1"/>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s="1"/>
  <c r="AL2331" i="2" s="1"/>
  <c r="AG2331" i="2"/>
  <c r="AH2331" i="2"/>
  <c r="AI2331" i="2"/>
  <c r="AJ2331" i="2"/>
  <c r="AF2332" i="2"/>
  <c r="AK2332" i="2"/>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L2342" i="2" s="1"/>
  <c r="AF2343" i="2"/>
  <c r="AK2343" i="2" s="1"/>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s="1"/>
  <c r="AG2355" i="2"/>
  <c r="AH2355" i="2"/>
  <c r="AI2355" i="2"/>
  <c r="AJ2355" i="2"/>
  <c r="AF2356" i="2"/>
  <c r="AK2356" i="2" s="1"/>
  <c r="AL2356" i="2" s="1"/>
  <c r="AG2356" i="2"/>
  <c r="AH2356" i="2"/>
  <c r="AI2356" i="2"/>
  <c r="AJ2356" i="2"/>
  <c r="AF2357" i="2"/>
  <c r="AK2357" i="2"/>
  <c r="AG2357" i="2"/>
  <c r="AH2357" i="2"/>
  <c r="AI2357" i="2"/>
  <c r="AJ2357" i="2"/>
  <c r="AF2358" i="2"/>
  <c r="AK2358" i="2"/>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c r="AG2363" i="2"/>
  <c r="AH2363" i="2"/>
  <c r="AI2363" i="2"/>
  <c r="AJ2363" i="2"/>
  <c r="AF2364" i="2"/>
  <c r="AK2364" i="2" s="1"/>
  <c r="AG2364" i="2"/>
  <c r="AH2364" i="2"/>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s="1"/>
  <c r="AG2373" i="2"/>
  <c r="AH2373" i="2"/>
  <c r="AI2373" i="2"/>
  <c r="AJ2373" i="2"/>
  <c r="AF2374" i="2"/>
  <c r="AK2374" i="2" s="1"/>
  <c r="AG2374" i="2"/>
  <c r="AH2374" i="2"/>
  <c r="AI2374" i="2"/>
  <c r="AJ2374" i="2"/>
  <c r="AF2375" i="2"/>
  <c r="AK2375" i="2"/>
  <c r="AG2375" i="2"/>
  <c r="AH2375" i="2"/>
  <c r="AI2375" i="2"/>
  <c r="AJ2375" i="2"/>
  <c r="AF2376" i="2"/>
  <c r="AK2376" i="2"/>
  <c r="AG2376" i="2"/>
  <c r="AH2376" i="2"/>
  <c r="AI2376" i="2"/>
  <c r="AJ2376" i="2"/>
  <c r="AF2377" i="2"/>
  <c r="AK2377" i="2" s="1"/>
  <c r="AG2377" i="2"/>
  <c r="AH2377" i="2"/>
  <c r="AI2377" i="2"/>
  <c r="AJ2377" i="2"/>
  <c r="AF2378" i="2"/>
  <c r="AK2378" i="2" s="1"/>
  <c r="AG2378" i="2"/>
  <c r="AH2378" i="2"/>
  <c r="AI2378" i="2"/>
  <c r="AJ2378" i="2"/>
  <c r="AF2379" i="2"/>
  <c r="AK2379" i="2"/>
  <c r="AG2379" i="2"/>
  <c r="AL2379" i="2" s="1"/>
  <c r="AH2379" i="2"/>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c r="AG2383" i="2"/>
  <c r="AL2383" i="2" s="1"/>
  <c r="AH2383" i="2"/>
  <c r="AI2383" i="2"/>
  <c r="AJ2383" i="2"/>
  <c r="AF2384" i="2"/>
  <c r="AK2384" i="2"/>
  <c r="AG2384" i="2"/>
  <c r="AL2384" i="2" s="1"/>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c r="AG2388" i="2"/>
  <c r="AH2388" i="2"/>
  <c r="AI2388" i="2"/>
  <c r="AJ2388" i="2"/>
  <c r="AF2389" i="2"/>
  <c r="AK2389" i="2" s="1"/>
  <c r="AG2389" i="2"/>
  <c r="AH2389" i="2"/>
  <c r="AI2389" i="2"/>
  <c r="AJ2389" i="2"/>
  <c r="AF2390" i="2"/>
  <c r="AK2390" i="2" s="1"/>
  <c r="AG2390" i="2"/>
  <c r="AH2390" i="2"/>
  <c r="AI2390" i="2"/>
  <c r="AJ2390" i="2"/>
  <c r="AF2391" i="2"/>
  <c r="AK2391" i="2" s="1"/>
  <c r="AG2391" i="2"/>
  <c r="AH2391" i="2"/>
  <c r="AI2391" i="2"/>
  <c r="AJ2391" i="2"/>
  <c r="AF2392" i="2"/>
  <c r="AK2392" i="2" s="1"/>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c r="AG2398" i="2"/>
  <c r="AH2398" i="2"/>
  <c r="AI2398" i="2"/>
  <c r="AL2398" i="2" s="1"/>
  <c r="AJ2398" i="2"/>
  <c r="AF2399" i="2"/>
  <c r="AK2399" i="2" s="1"/>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s="1"/>
  <c r="AL2406" i="2"/>
  <c r="AG2406" i="2"/>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s="1"/>
  <c r="AG2421" i="2"/>
  <c r="AH2421" i="2"/>
  <c r="AI2421" i="2"/>
  <c r="AJ2421" i="2"/>
  <c r="AF2422" i="2"/>
  <c r="AK2422" i="2" s="1"/>
  <c r="AG2422" i="2"/>
  <c r="AH2422" i="2"/>
  <c r="AI2422" i="2"/>
  <c r="AJ2422" i="2"/>
  <c r="AF2423" i="2"/>
  <c r="AK2423" i="2"/>
  <c r="AG2423" i="2"/>
  <c r="AH2423" i="2"/>
  <c r="AI2423" i="2"/>
  <c r="AJ2423" i="2"/>
  <c r="AF2424" i="2"/>
  <c r="AK2424" i="2"/>
  <c r="AG2424" i="2"/>
  <c r="AH2424" i="2"/>
  <c r="AI2424" i="2"/>
  <c r="AJ2424" i="2"/>
  <c r="AF2425" i="2"/>
  <c r="AK2425" i="2" s="1"/>
  <c r="AG2425" i="2"/>
  <c r="AH2425" i="2"/>
  <c r="AI2425" i="2"/>
  <c r="AJ2425" i="2"/>
  <c r="AF2426" i="2"/>
  <c r="AK2426" i="2" s="1"/>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c r="AG2430" i="2"/>
  <c r="AH2430" i="2"/>
  <c r="AI2430" i="2"/>
  <c r="AJ2430" i="2"/>
  <c r="AF2431" i="2"/>
  <c r="AK2431" i="2"/>
  <c r="AG2431" i="2"/>
  <c r="AH2431" i="2"/>
  <c r="AI2431" i="2"/>
  <c r="AJ2431" i="2"/>
  <c r="AF2432" i="2"/>
  <c r="AK2432" i="2" s="1"/>
  <c r="AG2432" i="2"/>
  <c r="AH2432" i="2"/>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s="1"/>
  <c r="AG2438" i="2"/>
  <c r="AH2438" i="2"/>
  <c r="AI2438" i="2"/>
  <c r="AJ2438" i="2"/>
  <c r="AF2439" i="2"/>
  <c r="AK2439" i="2" s="1"/>
  <c r="AG2439" i="2"/>
  <c r="AH2439" i="2"/>
  <c r="AI2439" i="2"/>
  <c r="AJ2439" i="2"/>
  <c r="AF2440" i="2"/>
  <c r="AK2440" i="2" s="1"/>
  <c r="AL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L2446" i="2" s="1"/>
  <c r="AJ2446" i="2"/>
  <c r="AF2447" i="2"/>
  <c r="AK2447" i="2" s="1"/>
  <c r="AG2447" i="2"/>
  <c r="AH2447" i="2"/>
  <c r="AI2447" i="2"/>
  <c r="AJ2447" i="2"/>
  <c r="AF2448" i="2"/>
  <c r="AK2448" i="2" s="1"/>
  <c r="AL2448" i="2"/>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c r="AG2453" i="2"/>
  <c r="AH2453" i="2"/>
  <c r="AI2453" i="2"/>
  <c r="AJ2453" i="2"/>
  <c r="AF2454" i="2"/>
  <c r="AK2454" i="2"/>
  <c r="AG2454" i="2"/>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c r="AL2463" i="2" s="1"/>
  <c r="AG2463" i="2"/>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s="1"/>
  <c r="AG2467" i="2"/>
  <c r="AH2467" i="2"/>
  <c r="AI2467" i="2"/>
  <c r="AJ2467" i="2"/>
  <c r="AF2468" i="2"/>
  <c r="AK2468" i="2"/>
  <c r="AG2468" i="2"/>
  <c r="AL2468" i="2" s="1"/>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s="1"/>
  <c r="AG2473" i="2"/>
  <c r="AL2473" i="2"/>
  <c r="AH2473" i="2"/>
  <c r="AI2473" i="2"/>
  <c r="AJ2473" i="2"/>
  <c r="AF2474" i="2"/>
  <c r="AK2474" i="2"/>
  <c r="AG2474" i="2"/>
  <c r="AH2474" i="2"/>
  <c r="AI2474" i="2"/>
  <c r="AJ2474" i="2"/>
  <c r="AF2475" i="2"/>
  <c r="AK2475" i="2" s="1"/>
  <c r="AG2475" i="2"/>
  <c r="AH2475" i="2"/>
  <c r="AI2475" i="2"/>
  <c r="AJ2475" i="2"/>
  <c r="AF2476" i="2"/>
  <c r="AK2476" i="2" s="1"/>
  <c r="AL2476" i="2" s="1"/>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F2480" i="2"/>
  <c r="AK2480" i="2"/>
  <c r="AG2480" i="2"/>
  <c r="AH2480" i="2"/>
  <c r="AI2480" i="2"/>
  <c r="AJ2480" i="2"/>
  <c r="AF2481" i="2"/>
  <c r="AK2481" i="2"/>
  <c r="AG2481" i="2"/>
  <c r="AH2481" i="2"/>
  <c r="AI2481" i="2"/>
  <c r="AJ2481" i="2"/>
  <c r="AF2482" i="2"/>
  <c r="AK2482" i="2"/>
  <c r="AG2482" i="2"/>
  <c r="AL2482" i="2" s="1"/>
  <c r="AH2482" i="2"/>
  <c r="AI2482" i="2"/>
  <c r="AJ2482" i="2"/>
  <c r="AF2483" i="2"/>
  <c r="AK2483" i="2" s="1"/>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s="1"/>
  <c r="AG2522" i="2"/>
  <c r="AH2522" i="2"/>
  <c r="AI2522" i="2"/>
  <c r="AJ2522" i="2"/>
  <c r="AF2523" i="2"/>
  <c r="AK2523" i="2" s="1"/>
  <c r="AG2523" i="2"/>
  <c r="AH2523" i="2"/>
  <c r="AI2523" i="2"/>
  <c r="AJ2523" i="2"/>
  <c r="AF2524" i="2"/>
  <c r="AK2524" i="2" s="1"/>
  <c r="AG2524" i="2"/>
  <c r="AH2524" i="2"/>
  <c r="AI2524" i="2"/>
  <c r="AJ2524" i="2"/>
  <c r="AF2525" i="2"/>
  <c r="AK2525" i="2"/>
  <c r="AG2525" i="2"/>
  <c r="AH2525" i="2"/>
  <c r="AI2525" i="2"/>
  <c r="AJ2525" i="2"/>
  <c r="AF2526" i="2"/>
  <c r="AK2526" i="2"/>
  <c r="AG2526" i="2"/>
  <c r="AH2526" i="2"/>
  <c r="AI2526" i="2"/>
  <c r="AJ2526" i="2"/>
  <c r="AF2527" i="2"/>
  <c r="AK2527" i="2" s="1"/>
  <c r="AG2527" i="2"/>
  <c r="AH2527" i="2"/>
  <c r="AI2527" i="2"/>
  <c r="AJ2527" i="2"/>
  <c r="AF2528" i="2"/>
  <c r="AK2528" i="2" s="1"/>
  <c r="AG2528" i="2"/>
  <c r="AH2528" i="2"/>
  <c r="AI2528" i="2"/>
  <c r="AJ2528" i="2"/>
  <c r="AF2529" i="2"/>
  <c r="AK2529" i="2"/>
  <c r="AG2529" i="2"/>
  <c r="AH2529" i="2"/>
  <c r="AI2529" i="2"/>
  <c r="AJ2529" i="2"/>
  <c r="AF2530" i="2"/>
  <c r="AK2530" i="2"/>
  <c r="AG2530" i="2"/>
  <c r="AH2530" i="2"/>
  <c r="AI2530" i="2"/>
  <c r="AJ2530" i="2"/>
  <c r="AF2531" i="2"/>
  <c r="AK2531" i="2" s="1"/>
  <c r="AG2531" i="2"/>
  <c r="AH2531" i="2"/>
  <c r="AI2531" i="2"/>
  <c r="AJ2531" i="2"/>
  <c r="AF2532" i="2"/>
  <c r="AK2532" i="2"/>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c r="AG2536" i="2"/>
  <c r="AH2536" i="2"/>
  <c r="AI2536" i="2"/>
  <c r="AJ2536" i="2"/>
  <c r="AF2537" i="2"/>
  <c r="AK2537" i="2"/>
  <c r="AG2537" i="2"/>
  <c r="AH2537" i="2"/>
  <c r="AI2537" i="2"/>
  <c r="AJ2537" i="2"/>
  <c r="AF2538" i="2"/>
  <c r="AK2538" i="2" s="1"/>
  <c r="AG2538" i="2"/>
  <c r="AH2538" i="2"/>
  <c r="AI2538" i="2"/>
  <c r="AJ2538" i="2"/>
  <c r="AF2539" i="2"/>
  <c r="AK2539" i="2" s="1"/>
  <c r="AG2539" i="2"/>
  <c r="AH2539" i="2"/>
  <c r="AI2539" i="2"/>
  <c r="AJ2539" i="2"/>
  <c r="AF2540" i="2"/>
  <c r="AK2540" i="2"/>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s="1"/>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s="1"/>
  <c r="AG2560" i="2"/>
  <c r="AH2560" i="2"/>
  <c r="AI2560" i="2"/>
  <c r="AJ2560" i="2"/>
  <c r="AF2561" i="2"/>
  <c r="AK2561" i="2" s="1"/>
  <c r="AG2561" i="2"/>
  <c r="AH2561" i="2"/>
  <c r="AI2561" i="2"/>
  <c r="AJ2561" i="2"/>
  <c r="AF2562" i="2"/>
  <c r="AK2562" i="2"/>
  <c r="AG2562" i="2"/>
  <c r="AH2562" i="2"/>
  <c r="AI2562" i="2"/>
  <c r="AJ2562" i="2"/>
  <c r="AF2563" i="2"/>
  <c r="AK2563" i="2"/>
  <c r="AG2563" i="2"/>
  <c r="AH2563" i="2"/>
  <c r="AI2563" i="2"/>
  <c r="AJ2563" i="2"/>
  <c r="AF2564" i="2"/>
  <c r="AK2564" i="2" s="1"/>
  <c r="AG2564" i="2"/>
  <c r="AH2564" i="2"/>
  <c r="AI2564" i="2"/>
  <c r="AJ2564" i="2"/>
  <c r="AF2565" i="2"/>
  <c r="AK2565" i="2" s="1"/>
  <c r="AG2565" i="2"/>
  <c r="AH2565" i="2"/>
  <c r="AI2565" i="2"/>
  <c r="AJ2565" i="2"/>
  <c r="AF2566" i="2"/>
  <c r="AK2566" i="2"/>
  <c r="AG2566" i="2"/>
  <c r="AH2566" i="2"/>
  <c r="AI2566" i="2"/>
  <c r="AJ2566" i="2"/>
  <c r="AF2567" i="2"/>
  <c r="AK2567" i="2"/>
  <c r="AG2567" i="2"/>
  <c r="AH2567" i="2"/>
  <c r="AI2567" i="2"/>
  <c r="AJ2567" i="2"/>
  <c r="AF2568" i="2"/>
  <c r="AK2568" i="2" s="1"/>
  <c r="AL2568" i="2"/>
  <c r="AG2568" i="2"/>
  <c r="AH2568" i="2"/>
  <c r="AI2568" i="2"/>
  <c r="AJ2568" i="2"/>
  <c r="AF2569" i="2"/>
  <c r="AK2569" i="2"/>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c r="AG2575" i="2"/>
  <c r="AH2575" i="2"/>
  <c r="AI2575" i="2"/>
  <c r="AJ2575" i="2"/>
  <c r="AF2576" i="2"/>
  <c r="AK2576" i="2"/>
  <c r="AG2576" i="2"/>
  <c r="AH2576" i="2"/>
  <c r="AI2576" i="2"/>
  <c r="AJ2576" i="2"/>
  <c r="AF2577" i="2"/>
  <c r="AK2577" i="2" s="1"/>
  <c r="AG2577" i="2"/>
  <c r="AH2577" i="2"/>
  <c r="AI2577" i="2"/>
  <c r="AJ2577" i="2"/>
  <c r="AF2578" i="2"/>
  <c r="AK2578" i="2" s="1"/>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c r="AG2583" i="2"/>
  <c r="AH2583" i="2"/>
  <c r="AI2583" i="2"/>
  <c r="AJ2583" i="2"/>
  <c r="AF2584" i="2"/>
  <c r="AK2584" i="2"/>
  <c r="AG2584" i="2"/>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s="1"/>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s="1"/>
  <c r="AG2604" i="2"/>
  <c r="AH2604" i="2"/>
  <c r="AI2604" i="2"/>
  <c r="AJ2604" i="2"/>
  <c r="AF2605" i="2"/>
  <c r="AK2605" i="2"/>
  <c r="AG2605" i="2"/>
  <c r="AH2605" i="2"/>
  <c r="AL2605" i="2"/>
  <c r="AI2605" i="2"/>
  <c r="AJ2605" i="2"/>
  <c r="AF2606" i="2"/>
  <c r="AK2606" i="2" s="1"/>
  <c r="AG2606" i="2"/>
  <c r="AH2606" i="2"/>
  <c r="AI2606" i="2"/>
  <c r="AJ2606" i="2"/>
  <c r="AF2607" i="2"/>
  <c r="AK2607" i="2"/>
  <c r="AG2607" i="2"/>
  <c r="AH2607" i="2"/>
  <c r="AI2607" i="2"/>
  <c r="AJ2607" i="2"/>
  <c r="AF2608" i="2"/>
  <c r="AK2608" i="2" s="1"/>
  <c r="AG2608" i="2"/>
  <c r="AH2608" i="2"/>
  <c r="AI2608" i="2"/>
  <c r="AJ2608" i="2"/>
  <c r="AF2609" i="2"/>
  <c r="AK2609" i="2"/>
  <c r="AG2609" i="2"/>
  <c r="AH2609" i="2"/>
  <c r="AI2609" i="2"/>
  <c r="AJ2609" i="2"/>
  <c r="AF2610" i="2"/>
  <c r="AK2610" i="2" s="1"/>
  <c r="AG2610" i="2"/>
  <c r="AH2610" i="2"/>
  <c r="AI2610" i="2"/>
  <c r="AJ2610" i="2"/>
  <c r="AF2611" i="2"/>
  <c r="AK2611" i="2" s="1"/>
  <c r="AG2611" i="2"/>
  <c r="AH2611" i="2"/>
  <c r="AI2611" i="2"/>
  <c r="AJ2611" i="2"/>
  <c r="AF2612" i="2"/>
  <c r="AK2612" i="2" s="1"/>
  <c r="AG2612" i="2"/>
  <c r="AH2612" i="2"/>
  <c r="AI2612" i="2"/>
  <c r="AJ2612" i="2"/>
  <c r="AF2613" i="2"/>
  <c r="AK2613" i="2"/>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c r="AG2617" i="2"/>
  <c r="AH2617" i="2"/>
  <c r="AI2617" i="2"/>
  <c r="AJ2617" i="2"/>
  <c r="AF2618" i="2"/>
  <c r="AK2618" i="2" s="1"/>
  <c r="AG2618" i="2"/>
  <c r="AH2618" i="2"/>
  <c r="AI2618" i="2"/>
  <c r="AJ2618" i="2"/>
  <c r="AF2619" i="2"/>
  <c r="AK2619" i="2" s="1"/>
  <c r="AG2619" i="2"/>
  <c r="AH2619" i="2"/>
  <c r="AI2619" i="2"/>
  <c r="AJ2619" i="2"/>
  <c r="AF2620" i="2"/>
  <c r="AK2620" i="2" s="1"/>
  <c r="AG2620" i="2"/>
  <c r="AH2620" i="2"/>
  <c r="AI2620" i="2"/>
  <c r="AJ2620" i="2"/>
  <c r="AF2621" i="2"/>
  <c r="AK2621" i="2"/>
  <c r="AG2621" i="2"/>
  <c r="AH2621" i="2"/>
  <c r="AI2621" i="2"/>
  <c r="AJ2621" i="2"/>
  <c r="AF2622" i="2"/>
  <c r="AK2622" i="2"/>
  <c r="AG2622" i="2"/>
  <c r="AH2622" i="2"/>
  <c r="AI2622" i="2"/>
  <c r="AJ2622" i="2"/>
  <c r="AF2623" i="2"/>
  <c r="AK2623" i="2"/>
  <c r="AG2623" i="2"/>
  <c r="AH2623" i="2"/>
  <c r="AI2623" i="2"/>
  <c r="AJ2623" i="2"/>
  <c r="AF2624" i="2"/>
  <c r="AK2624" i="2"/>
  <c r="AG2624" i="2"/>
  <c r="AL2624" i="2" s="1"/>
  <c r="AH2624" i="2"/>
  <c r="AI2624" i="2"/>
  <c r="AJ2624" i="2"/>
  <c r="AF2625" i="2"/>
  <c r="AK2625" i="2" s="1"/>
  <c r="AG2625" i="2"/>
  <c r="AH2625" i="2"/>
  <c r="AI2625" i="2"/>
  <c r="AJ2625" i="2"/>
  <c r="AF2626" i="2"/>
  <c r="AK2626" i="2"/>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c r="AG2630" i="2"/>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K2634" i="2" s="1"/>
  <c r="AG2634" i="2"/>
  <c r="AH2634" i="2"/>
  <c r="AI2634" i="2"/>
  <c r="AJ2634" i="2"/>
  <c r="AF2635" i="2"/>
  <c r="AK2635" i="2" s="1"/>
  <c r="AG2635" i="2"/>
  <c r="AH2635" i="2"/>
  <c r="AI2635" i="2"/>
  <c r="AJ2635" i="2"/>
  <c r="AF2636" i="2"/>
  <c r="AK2636" i="2"/>
  <c r="AG2636" i="2"/>
  <c r="AH2636" i="2"/>
  <c r="AI2636" i="2"/>
  <c r="AJ2636" i="2"/>
  <c r="AF2637" i="2"/>
  <c r="AK2637" i="2"/>
  <c r="AG2637" i="2"/>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s="1"/>
  <c r="AG2641" i="2"/>
  <c r="AL2641" i="2" s="1"/>
  <c r="AH2641" i="2"/>
  <c r="AI2641" i="2"/>
  <c r="AJ2641" i="2"/>
  <c r="AF2642" i="2"/>
  <c r="AK2642" i="2"/>
  <c r="AG2642" i="2"/>
  <c r="AH2642" i="2"/>
  <c r="AI2642" i="2"/>
  <c r="AJ2642" i="2"/>
  <c r="AF2643" i="2"/>
  <c r="AK2643" i="2" s="1"/>
  <c r="AG2643" i="2"/>
  <c r="AH2643" i="2"/>
  <c r="AI2643" i="2"/>
  <c r="AJ2643" i="2"/>
  <c r="AF2644" i="2"/>
  <c r="AK2644" i="2" s="1"/>
  <c r="AG2644" i="2"/>
  <c r="AH2644" i="2"/>
  <c r="AI2644" i="2"/>
  <c r="AJ2644" i="2"/>
  <c r="AF2645" i="2"/>
  <c r="AK2645" i="2"/>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G2653" i="2"/>
  <c r="AH2653" i="2"/>
  <c r="AL2653" i="2" s="1"/>
  <c r="AI2653" i="2"/>
  <c r="AJ2653" i="2"/>
  <c r="AF2654" i="2"/>
  <c r="AK2654" i="2" s="1"/>
  <c r="AG2654" i="2"/>
  <c r="AH2654" i="2"/>
  <c r="AI2654" i="2"/>
  <c r="AJ2654" i="2"/>
  <c r="AF2655" i="2"/>
  <c r="AK2655" i="2" s="1"/>
  <c r="AG2655" i="2"/>
  <c r="AH2655" i="2"/>
  <c r="AI2655" i="2"/>
  <c r="AJ2655" i="2"/>
  <c r="AF2656" i="2"/>
  <c r="AK2656" i="2"/>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c r="AG2660" i="2"/>
  <c r="AH2660" i="2"/>
  <c r="AI2660" i="2"/>
  <c r="AJ2660" i="2"/>
  <c r="AF2661" i="2"/>
  <c r="AK2661" i="2" s="1"/>
  <c r="AG2661" i="2"/>
  <c r="AH2661" i="2"/>
  <c r="AI2661" i="2"/>
  <c r="AJ2661" i="2"/>
  <c r="AF2662" i="2"/>
  <c r="AK2662" i="2" s="1"/>
  <c r="AG2662" i="2"/>
  <c r="AH2662" i="2"/>
  <c r="AI2662" i="2"/>
  <c r="AJ2662" i="2"/>
  <c r="AF2663" i="2"/>
  <c r="AK2663" i="2" s="1"/>
  <c r="AG2663" i="2"/>
  <c r="AH2663" i="2"/>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G2679" i="2"/>
  <c r="AH2679" i="2"/>
  <c r="AL2679" i="2" s="1"/>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s="1"/>
  <c r="AG2688" i="2"/>
  <c r="AH2688" i="2"/>
  <c r="AI2688" i="2"/>
  <c r="AJ2688" i="2"/>
  <c r="AF2689" i="2"/>
  <c r="AK2689" i="2" s="1"/>
  <c r="AG2689" i="2"/>
  <c r="AL2689" i="2" s="1"/>
  <c r="AH2689" i="2"/>
  <c r="AI2689" i="2"/>
  <c r="AJ2689" i="2"/>
  <c r="AF2690" i="2"/>
  <c r="AK2690" i="2" s="1"/>
  <c r="AG2690" i="2"/>
  <c r="AH2690" i="2"/>
  <c r="AI2690" i="2"/>
  <c r="AL2690" i="2"/>
  <c r="AJ2690" i="2"/>
  <c r="AF2691" i="2"/>
  <c r="AK2691" i="2"/>
  <c r="AG2691" i="2"/>
  <c r="AH2691" i="2"/>
  <c r="AI2691" i="2"/>
  <c r="AJ2691" i="2"/>
  <c r="AF2692" i="2"/>
  <c r="AK2692" i="2" s="1"/>
  <c r="AG2692" i="2"/>
  <c r="AH2692" i="2"/>
  <c r="AI2692" i="2"/>
  <c r="AJ2692" i="2"/>
  <c r="AF2693" i="2"/>
  <c r="AK2693" i="2" s="1"/>
  <c r="AG2693" i="2"/>
  <c r="AH2693" i="2"/>
  <c r="AI2693" i="2"/>
  <c r="AJ2693" i="2"/>
  <c r="AF2694" i="2"/>
  <c r="AK2694" i="2" s="1"/>
  <c r="AG2694" i="2"/>
  <c r="AH2694" i="2"/>
  <c r="AI2694" i="2"/>
  <c r="AJ2694" i="2"/>
  <c r="AF2695" i="2"/>
  <c r="AK2695" i="2"/>
  <c r="AG2695" i="2"/>
  <c r="AH2695" i="2"/>
  <c r="AI2695" i="2"/>
  <c r="AJ2695" i="2"/>
  <c r="AF2696" i="2"/>
  <c r="AK2696" i="2" s="1"/>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s="1"/>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G2705" i="2"/>
  <c r="AH2705" i="2"/>
  <c r="AI2705" i="2"/>
  <c r="AL2705" i="2" s="1"/>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c r="AG2722" i="2"/>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s="1"/>
  <c r="AG2726" i="2"/>
  <c r="AH2726" i="2"/>
  <c r="AI2726" i="2"/>
  <c r="AJ2726" i="2"/>
  <c r="AF2727" i="2"/>
  <c r="AK2727" i="2" s="1"/>
  <c r="AG2727" i="2"/>
  <c r="AH2727" i="2"/>
  <c r="AL2727" i="2" s="1"/>
  <c r="AI2727" i="2"/>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c r="AG2751" i="2"/>
  <c r="AH2751" i="2"/>
  <c r="AL2751" i="2" s="1"/>
  <c r="AI2751" i="2"/>
  <c r="AJ2751" i="2"/>
  <c r="AF2752" i="2"/>
  <c r="AK2752" i="2" s="1"/>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s="1"/>
  <c r="AG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c r="AG2798" i="2"/>
  <c r="AH2798" i="2"/>
  <c r="AI2798" i="2"/>
  <c r="AJ2798" i="2"/>
  <c r="AF2799" i="2"/>
  <c r="AK2799" i="2"/>
  <c r="AL2799" i="2" s="1"/>
  <c r="AG2799" i="2"/>
  <c r="AH2799" i="2"/>
  <c r="AI2799" i="2"/>
  <c r="AJ2799" i="2"/>
  <c r="AF2800" i="2"/>
  <c r="AK2800" i="2"/>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L2827" i="2" s="1"/>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s="1"/>
  <c r="AG2834" i="2"/>
  <c r="AH2834" i="2"/>
  <c r="AI2834" i="2"/>
  <c r="AJ2834" i="2"/>
  <c r="AF2835" i="2"/>
  <c r="AK2835" i="2"/>
  <c r="AG2835" i="2"/>
  <c r="AL2835" i="2" s="1"/>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s="1"/>
  <c r="AL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F2873" i="2"/>
  <c r="AK2873" i="2" s="1"/>
  <c r="AG2873" i="2"/>
  <c r="AH2873" i="2"/>
  <c r="AI2873" i="2"/>
  <c r="AJ2873" i="2"/>
  <c r="AF2874" i="2"/>
  <c r="AK2874" i="2"/>
  <c r="AG2874" i="2"/>
  <c r="AH2874" i="2"/>
  <c r="AI2874" i="2"/>
  <c r="AJ2874" i="2"/>
  <c r="AF2875" i="2"/>
  <c r="AK2875" i="2" s="1"/>
  <c r="AG2875" i="2"/>
  <c r="AH2875" i="2"/>
  <c r="AL2875" i="2" s="1"/>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s="1"/>
  <c r="AL2894" i="2" s="1"/>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L2923" i="2"/>
  <c r="AG2923" i="2"/>
  <c r="AH2923" i="2"/>
  <c r="AI2923" i="2"/>
  <c r="AJ2923" i="2"/>
  <c r="AF2924" i="2"/>
  <c r="AK2924" i="2" s="1"/>
  <c r="AG2924" i="2"/>
  <c r="AH2924" i="2"/>
  <c r="AI2924" i="2"/>
  <c r="AJ2924" i="2"/>
  <c r="AF2925" i="2"/>
  <c r="AK2925" i="2"/>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c r="AG2938" i="2"/>
  <c r="AH2938" i="2"/>
  <c r="AI2938" i="2"/>
  <c r="AJ2938" i="2"/>
  <c r="AF2939" i="2"/>
  <c r="AK2939" i="2"/>
  <c r="AG2939" i="2"/>
  <c r="AH2939" i="2"/>
  <c r="AL2939" i="2" s="1"/>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s="1"/>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L3096" i="2" s="1"/>
  <c r="AG3096" i="2"/>
  <c r="AH3096" i="2"/>
  <c r="AI3096" i="2"/>
  <c r="AJ3096" i="2"/>
  <c r="AF3097" i="2"/>
  <c r="AK3097" i="2" s="1"/>
  <c r="AG3097" i="2"/>
  <c r="AH3097" i="2"/>
  <c r="AI3097" i="2"/>
  <c r="AL3097" i="2" s="1"/>
  <c r="AJ3097" i="2"/>
  <c r="AF3098" i="2"/>
  <c r="AK3098" i="2"/>
  <c r="AG3098" i="2"/>
  <c r="AH3098" i="2"/>
  <c r="AI3098" i="2"/>
  <c r="AJ3098" i="2"/>
  <c r="AF3099" i="2"/>
  <c r="AK3099" i="2" s="1"/>
  <c r="AG3099" i="2"/>
  <c r="AH3099" i="2"/>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L3123" i="2" s="1"/>
  <c r="AH3123" i="2"/>
  <c r="AI3123" i="2"/>
  <c r="AJ3123" i="2"/>
  <c r="AF3124" i="2"/>
  <c r="AK3124" i="2" s="1"/>
  <c r="AG3124" i="2"/>
  <c r="AH3124" i="2"/>
  <c r="AI3124" i="2"/>
  <c r="AJ3124" i="2"/>
  <c r="AF3125" i="2"/>
  <c r="AK3125" i="2" s="1"/>
  <c r="AG3125" i="2"/>
  <c r="AH3125" i="2"/>
  <c r="AI3125" i="2"/>
  <c r="AJ3125" i="2"/>
  <c r="AF3126" i="2"/>
  <c r="AK3126" i="2" s="1"/>
  <c r="AG3126" i="2"/>
  <c r="AL3126" i="2" s="1"/>
  <c r="AH3126" i="2"/>
  <c r="AI3126" i="2"/>
  <c r="AJ3126" i="2"/>
  <c r="AF3127" i="2"/>
  <c r="AK3127" i="2"/>
  <c r="AG3127" i="2"/>
  <c r="AH3127" i="2"/>
  <c r="AI3127" i="2"/>
  <c r="AL3127" i="2" s="1"/>
  <c r="AJ3127" i="2"/>
  <c r="AF3128" i="2"/>
  <c r="AK3128" i="2" s="1"/>
  <c r="AG3128" i="2"/>
  <c r="AH3128" i="2"/>
  <c r="AI3128" i="2"/>
  <c r="AJ3128" i="2"/>
  <c r="AF3129" i="2"/>
  <c r="AK3129" i="2" s="1"/>
  <c r="AG3129" i="2"/>
  <c r="AL3129" i="2" s="1"/>
  <c r="AH3129" i="2"/>
  <c r="AI3129" i="2"/>
  <c r="AJ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s="1"/>
  <c r="AG3137" i="2"/>
  <c r="AH3137" i="2"/>
  <c r="AI3137" i="2"/>
  <c r="AJ3137" i="2"/>
  <c r="AF3138" i="2"/>
  <c r="AK3138" i="2" s="1"/>
  <c r="AL3138" i="2"/>
  <c r="AG3138" i="2"/>
  <c r="AH3138" i="2"/>
  <c r="AI3138" i="2"/>
  <c r="AJ3138" i="2"/>
  <c r="AF3139" i="2"/>
  <c r="AK3139" i="2"/>
  <c r="AG3139" i="2"/>
  <c r="AH3139" i="2"/>
  <c r="AL3139" i="2" s="1"/>
  <c r="AI3139" i="2"/>
  <c r="AJ3139" i="2"/>
  <c r="AF3140" i="2"/>
  <c r="AK3140" i="2"/>
  <c r="AG3140" i="2"/>
  <c r="AH3140" i="2"/>
  <c r="AI3140" i="2"/>
  <c r="AJ3140" i="2"/>
  <c r="AL3140" i="2" s="1"/>
  <c r="AF3141" i="2"/>
  <c r="AK3141" i="2" s="1"/>
  <c r="AG3141" i="2"/>
  <c r="AH3141" i="2"/>
  <c r="AI3141" i="2"/>
  <c r="AJ3141" i="2"/>
  <c r="AF3142" i="2"/>
  <c r="AK3142" i="2"/>
  <c r="AG3142" i="2"/>
  <c r="AL3142" i="2" s="1"/>
  <c r="AH3142" i="2"/>
  <c r="AI3142" i="2"/>
  <c r="AJ3142" i="2"/>
  <c r="AF3143" i="2"/>
  <c r="AK3143" i="2"/>
  <c r="AG3143" i="2"/>
  <c r="AH3143" i="2"/>
  <c r="AI3143" i="2"/>
  <c r="AL3143" i="2" s="1"/>
  <c r="AJ3143" i="2"/>
  <c r="AF3144" i="2"/>
  <c r="AK3144" i="2"/>
  <c r="AG3144" i="2"/>
  <c r="AH3144" i="2"/>
  <c r="AI3144" i="2"/>
  <c r="AJ3144" i="2"/>
  <c r="AF3145" i="2"/>
  <c r="AK3145" i="2" s="1"/>
  <c r="AL3145" i="2" s="1"/>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c r="AG3174" i="2"/>
  <c r="AH3174" i="2"/>
  <c r="AI3174" i="2"/>
  <c r="AJ3174" i="2"/>
  <c r="AF3175" i="2"/>
  <c r="AK3175" i="2" s="1"/>
  <c r="AG3175" i="2"/>
  <c r="AL3175" i="2" s="1"/>
  <c r="AH3175" i="2"/>
  <c r="AI3175" i="2"/>
  <c r="AJ3175" i="2"/>
  <c r="AF3176" i="2"/>
  <c r="AK3176" i="2"/>
  <c r="AG3176" i="2"/>
  <c r="AH3176" i="2"/>
  <c r="AI3176" i="2"/>
  <c r="AL3176" i="2" s="1"/>
  <c r="AJ3176" i="2"/>
  <c r="AF3177" i="2"/>
  <c r="AK3177" i="2" s="1"/>
  <c r="AG3177" i="2"/>
  <c r="AH3177" i="2"/>
  <c r="AI3177" i="2"/>
  <c r="AJ3177" i="2"/>
  <c r="AF3178" i="2"/>
  <c r="AK3178" i="2"/>
  <c r="AL3178" i="2" s="1"/>
  <c r="AG3178" i="2"/>
  <c r="AH3178" i="2"/>
  <c r="AI3178" i="2"/>
  <c r="AJ3178" i="2"/>
  <c r="AF3179" i="2"/>
  <c r="AK3179" i="2" s="1"/>
  <c r="AG3179" i="2"/>
  <c r="AH3179" i="2"/>
  <c r="AI3179" i="2"/>
  <c r="AL3179" i="2" s="1"/>
  <c r="AJ3179" i="2"/>
  <c r="AF3180" i="2"/>
  <c r="AK3180" i="2"/>
  <c r="AG3180" i="2"/>
  <c r="AH3180" i="2"/>
  <c r="AI3180" i="2"/>
  <c r="AJ3180" i="2"/>
  <c r="AF3181" i="2"/>
  <c r="AK3181" i="2" s="1"/>
  <c r="AL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s="1"/>
  <c r="AG3186" i="2"/>
  <c r="AH3186" i="2"/>
  <c r="AI3186" i="2"/>
  <c r="AJ3186" i="2"/>
  <c r="AF3187" i="2"/>
  <c r="AK3187" i="2" s="1"/>
  <c r="AL3187" i="2" s="1"/>
  <c r="AG3187" i="2"/>
  <c r="AH3187" i="2"/>
  <c r="AI3187" i="2"/>
  <c r="AJ3187" i="2"/>
  <c r="AF3188" i="2"/>
  <c r="AK3188" i="2"/>
  <c r="AG3188" i="2"/>
  <c r="AH3188" i="2"/>
  <c r="AI3188" i="2"/>
  <c r="AJ3188" i="2"/>
  <c r="AF3189" i="2"/>
  <c r="AK3189" i="2" s="1"/>
  <c r="AG3189" i="2"/>
  <c r="AH3189" i="2"/>
  <c r="AI3189" i="2"/>
  <c r="AJ3189" i="2"/>
  <c r="AF3190" i="2"/>
  <c r="AK3190" i="2" s="1"/>
  <c r="AL3190" i="2" s="1"/>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I3212" i="2"/>
  <c r="AL3212" i="2" s="1"/>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H3221" i="2"/>
  <c r="AI3221" i="2"/>
  <c r="AJ3221" i="2"/>
  <c r="AL3221" i="2" s="1"/>
  <c r="AF3222" i="2"/>
  <c r="AK3222" i="2" s="1"/>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H3234" i="2"/>
  <c r="AI3234" i="2"/>
  <c r="AJ3234" i="2"/>
  <c r="AL3234" i="2" s="1"/>
  <c r="AF3235" i="2"/>
  <c r="AK3235" i="2" s="1"/>
  <c r="AG3235" i="2"/>
  <c r="AH3235" i="2"/>
  <c r="AI3235" i="2"/>
  <c r="AJ3235" i="2"/>
  <c r="AF3236" i="2"/>
  <c r="AK3236" i="2"/>
  <c r="AG3236" i="2"/>
  <c r="AL3236" i="2" s="1"/>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c r="AG3253" i="2"/>
  <c r="AH3253" i="2"/>
  <c r="AI3253" i="2"/>
  <c r="AJ3253" i="2"/>
  <c r="AF3254" i="2"/>
  <c r="AK3254" i="2"/>
  <c r="AG3254" i="2"/>
  <c r="AH3254" i="2"/>
  <c r="AI3254" i="2"/>
  <c r="AJ3254" i="2"/>
  <c r="AL3254" i="2" s="1"/>
  <c r="AF3255" i="2"/>
  <c r="AK3255" i="2"/>
  <c r="AG3255" i="2"/>
  <c r="AH3255" i="2"/>
  <c r="AI3255" i="2"/>
  <c r="AJ3255" i="2"/>
  <c r="AL3255" i="2" s="1"/>
  <c r="AF3256" i="2"/>
  <c r="AK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s="1"/>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c r="AG3267" i="2"/>
  <c r="AH3267" i="2"/>
  <c r="AI3267" i="2"/>
  <c r="AJ3267" i="2"/>
  <c r="AF3268" i="2"/>
  <c r="AK3268" i="2" s="1"/>
  <c r="AG3268" i="2"/>
  <c r="AH3268" i="2"/>
  <c r="AI3268" i="2"/>
  <c r="AJ3268" i="2"/>
  <c r="AF3269" i="2"/>
  <c r="AK3269" i="2"/>
  <c r="AG3269" i="2"/>
  <c r="AH3269" i="2"/>
  <c r="AI3269" i="2"/>
  <c r="AJ3269" i="2"/>
  <c r="AF3270" i="2"/>
  <c r="AK3270" i="2" s="1"/>
  <c r="AG3270" i="2"/>
  <c r="AH3270" i="2"/>
  <c r="AI3270" i="2"/>
  <c r="AJ3270" i="2"/>
  <c r="AF3271" i="2"/>
  <c r="AK3271" i="2"/>
  <c r="AG3271" i="2"/>
  <c r="AH3271" i="2"/>
  <c r="AI3271" i="2"/>
  <c r="AJ3271" i="2"/>
  <c r="AF3272" i="2"/>
  <c r="AK3272" i="2" s="1"/>
  <c r="AL3272" i="2" s="1"/>
  <c r="AG3272" i="2"/>
  <c r="AH3272" i="2"/>
  <c r="AI3272" i="2"/>
  <c r="AJ3272" i="2"/>
  <c r="AF3273" i="2"/>
  <c r="AK3273" i="2"/>
  <c r="AG3273" i="2"/>
  <c r="AH3273" i="2"/>
  <c r="AI3273" i="2"/>
  <c r="AJ3273" i="2"/>
  <c r="AF3274" i="2"/>
  <c r="AK3274" i="2"/>
  <c r="AG3274" i="2"/>
  <c r="AH3274" i="2"/>
  <c r="AI3274" i="2"/>
  <c r="AJ3274" i="2"/>
  <c r="AF3275" i="2"/>
  <c r="AK3275" i="2" s="1"/>
  <c r="AG3275" i="2"/>
  <c r="AH3275" i="2"/>
  <c r="AI3275" i="2"/>
  <c r="AJ3275" i="2"/>
  <c r="AF3276" i="2"/>
  <c r="AK3276" i="2" s="1"/>
  <c r="AG3276" i="2"/>
  <c r="AH3276" i="2"/>
  <c r="AI3276" i="2"/>
  <c r="AJ3276" i="2"/>
  <c r="AF3277" i="2"/>
  <c r="AK3277" i="2"/>
  <c r="AG3277" i="2"/>
  <c r="AH3277" i="2"/>
  <c r="AI3277" i="2"/>
  <c r="AJ3277" i="2"/>
  <c r="AF3278" i="2"/>
  <c r="AK3278" i="2"/>
  <c r="AG3278" i="2"/>
  <c r="AH3278" i="2"/>
  <c r="AI3278" i="2"/>
  <c r="AJ3278" i="2"/>
  <c r="AF3279" i="2"/>
  <c r="AK3279" i="2" s="1"/>
  <c r="AG3279" i="2"/>
  <c r="AH3279" i="2"/>
  <c r="AI3279" i="2"/>
  <c r="AJ3279" i="2"/>
  <c r="AF3280" i="2"/>
  <c r="AK3280" i="2" s="1"/>
  <c r="AG3280" i="2"/>
  <c r="AH3280" i="2"/>
  <c r="AI3280" i="2"/>
  <c r="AJ3280" i="2"/>
  <c r="AF3281" i="2"/>
  <c r="AK3281" i="2" s="1"/>
  <c r="AG3281" i="2"/>
  <c r="AH3281" i="2"/>
  <c r="AI3281" i="2"/>
  <c r="AJ3281" i="2"/>
  <c r="AF3282" i="2"/>
  <c r="AK3282" i="2"/>
  <c r="AG3282" i="2"/>
  <c r="AH3282" i="2"/>
  <c r="AI3282" i="2"/>
  <c r="AJ3282" i="2"/>
  <c r="AF3283" i="2"/>
  <c r="AK3283" i="2"/>
  <c r="AG3283" i="2"/>
  <c r="AH3283" i="2"/>
  <c r="AI3283" i="2"/>
  <c r="AJ3283" i="2"/>
  <c r="AF3284" i="2"/>
  <c r="AK3284" i="2" s="1"/>
  <c r="AL3284" i="2"/>
  <c r="AG3284" i="2"/>
  <c r="AH3284" i="2"/>
  <c r="AI3284" i="2"/>
  <c r="AJ3284" i="2"/>
  <c r="AF3285" i="2"/>
  <c r="AK3285" i="2" s="1"/>
  <c r="AG3285" i="2"/>
  <c r="AH3285" i="2"/>
  <c r="AL3285" i="2"/>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s="1"/>
  <c r="AG3289" i="2"/>
  <c r="AH3289" i="2"/>
  <c r="AI3289" i="2"/>
  <c r="AL3289" i="2" s="1"/>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G3300" i="2"/>
  <c r="AH3300" i="2"/>
  <c r="AI3300" i="2"/>
  <c r="AJ3300" i="2"/>
  <c r="AF3301" i="2"/>
  <c r="AK3301" i="2" s="1"/>
  <c r="AG3301" i="2"/>
  <c r="AH3301" i="2"/>
  <c r="AI3301" i="2"/>
  <c r="AJ3301" i="2"/>
  <c r="AF3302" i="2"/>
  <c r="AK3302" i="2" s="1"/>
  <c r="AG3302" i="2"/>
  <c r="AL3302" i="2"/>
  <c r="AH3302" i="2"/>
  <c r="AI3302" i="2"/>
  <c r="AJ3302" i="2"/>
  <c r="AF3303" i="2"/>
  <c r="AK3303" i="2" s="1"/>
  <c r="AG3303" i="2"/>
  <c r="AH3303" i="2"/>
  <c r="AI3303" i="2"/>
  <c r="AJ3303" i="2"/>
  <c r="AF3304" i="2"/>
  <c r="AK3304" i="2"/>
  <c r="AG3304" i="2"/>
  <c r="AH3304" i="2"/>
  <c r="AI3304" i="2"/>
  <c r="AJ3304" i="2"/>
  <c r="AF3305" i="2"/>
  <c r="AK3305" i="2" s="1"/>
  <c r="AG3305" i="2"/>
  <c r="AL3305" i="2" s="1"/>
  <c r="AH3305" i="2"/>
  <c r="AI3305" i="2"/>
  <c r="AJ3305" i="2"/>
  <c r="AF3306" i="2"/>
  <c r="AK3306" i="2"/>
  <c r="AG3306" i="2"/>
  <c r="AH3306" i="2"/>
  <c r="AI3306" i="2"/>
  <c r="AJ3306" i="2"/>
  <c r="AF3307" i="2"/>
  <c r="AK3307" i="2" s="1"/>
  <c r="AG3307" i="2"/>
  <c r="AH3307" i="2"/>
  <c r="AI3307" i="2"/>
  <c r="AJ3307" i="2"/>
  <c r="AF3308" i="2"/>
  <c r="AK3308" i="2" s="1"/>
  <c r="AG3308" i="2"/>
  <c r="AH3308" i="2"/>
  <c r="AI3308" i="2"/>
  <c r="AJ3308" i="2"/>
  <c r="AF3309" i="2"/>
  <c r="AK3309" i="2" s="1"/>
  <c r="AG3309" i="2"/>
  <c r="AH3309" i="2"/>
  <c r="AI3309" i="2"/>
  <c r="AL3309" i="2" s="1"/>
  <c r="AJ3309" i="2"/>
  <c r="AF3310" i="2"/>
  <c r="AK3310" i="2"/>
  <c r="AG3310" i="2"/>
  <c r="AH3310" i="2"/>
  <c r="AI3310" i="2"/>
  <c r="AJ3310" i="2"/>
  <c r="AL3310" i="2" s="1"/>
  <c r="AF3311" i="2"/>
  <c r="AK3311" i="2" s="1"/>
  <c r="AG3311" i="2"/>
  <c r="AH3311" i="2"/>
  <c r="AI3311" i="2"/>
  <c r="AJ3311" i="2"/>
  <c r="AF3312" i="2"/>
  <c r="AK3312" i="2"/>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c r="AL3316" i="2"/>
  <c r="AG3316" i="2"/>
  <c r="AH3316" i="2"/>
  <c r="AI3316" i="2"/>
  <c r="AJ3316" i="2"/>
  <c r="AF3317" i="2"/>
  <c r="AK3317" i="2" s="1"/>
  <c r="AG3317" i="2"/>
  <c r="AH3317" i="2"/>
  <c r="AI3317" i="2"/>
  <c r="AJ3317" i="2"/>
  <c r="AF3318" i="2"/>
  <c r="AK3318" i="2" s="1"/>
  <c r="AG3318" i="2"/>
  <c r="AH3318" i="2"/>
  <c r="AI3318" i="2"/>
  <c r="AJ3318" i="2"/>
  <c r="AF3319" i="2"/>
  <c r="AK3319" i="2"/>
  <c r="AG3319" i="2"/>
  <c r="AH3319" i="2"/>
  <c r="AI3319" i="2"/>
  <c r="AJ3319" i="2"/>
  <c r="AF3320" i="2"/>
  <c r="AK3320" i="2"/>
  <c r="AG3320" i="2"/>
  <c r="AH3320" i="2"/>
  <c r="AL3320" i="2" s="1"/>
  <c r="AI3320" i="2"/>
  <c r="AJ3320" i="2"/>
  <c r="AF3321" i="2"/>
  <c r="AK3321" i="2"/>
  <c r="AG3321" i="2"/>
  <c r="AH3321" i="2"/>
  <c r="AI3321" i="2"/>
  <c r="AJ3321" i="2"/>
  <c r="AF3322" i="2"/>
  <c r="AK3322" i="2" s="1"/>
  <c r="AG3322" i="2"/>
  <c r="AH3322" i="2"/>
  <c r="AI3322" i="2"/>
  <c r="AJ3322" i="2"/>
  <c r="AF3323" i="2"/>
  <c r="AK3323" i="2" s="1"/>
  <c r="AG3323" i="2"/>
  <c r="AH3323" i="2"/>
  <c r="AI3323" i="2"/>
  <c r="AJ3323" i="2"/>
  <c r="AF3324" i="2"/>
  <c r="AK3324" i="2" s="1"/>
  <c r="AG3324" i="2"/>
  <c r="AH3324" i="2"/>
  <c r="AL3324" i="2" s="1"/>
  <c r="AI3324" i="2"/>
  <c r="AJ3324" i="2"/>
  <c r="AF3325" i="2"/>
  <c r="AK3325" i="2"/>
  <c r="AG3325" i="2"/>
  <c r="AH3325" i="2"/>
  <c r="AI3325" i="2"/>
  <c r="AJ3325" i="2"/>
  <c r="AL3325" i="2" s="1"/>
  <c r="AF3326" i="2"/>
  <c r="AK3326" i="2" s="1"/>
  <c r="AG3326" i="2"/>
  <c r="AH3326" i="2"/>
  <c r="AI3326" i="2"/>
  <c r="AJ3326" i="2"/>
  <c r="AF3327" i="2"/>
  <c r="AK3327" i="2"/>
  <c r="AG3327" i="2"/>
  <c r="AL3327" i="2" s="1"/>
  <c r="AH3327" i="2"/>
  <c r="AI3327" i="2"/>
  <c r="AJ3327" i="2"/>
  <c r="AF3328" i="2"/>
  <c r="AK3328" i="2"/>
  <c r="AG3328" i="2"/>
  <c r="AH3328" i="2"/>
  <c r="AI3328" i="2"/>
  <c r="AJ3328" i="2"/>
  <c r="AF3329" i="2"/>
  <c r="AK3329" i="2" s="1"/>
  <c r="AG3329" i="2"/>
  <c r="AH3329" i="2"/>
  <c r="AI3329" i="2"/>
  <c r="AJ3329" i="2"/>
  <c r="AF3330" i="2"/>
  <c r="AK3330" i="2"/>
  <c r="AL3330" i="2" s="1"/>
  <c r="AG3330" i="2"/>
  <c r="AH3330" i="2"/>
  <c r="AI3330" i="2"/>
  <c r="AJ3330" i="2"/>
  <c r="AF3331" i="2"/>
  <c r="AK3331" i="2" s="1"/>
  <c r="AG3331" i="2"/>
  <c r="AH3331" i="2"/>
  <c r="AI3331" i="2"/>
  <c r="AJ3331" i="2"/>
  <c r="AF3332" i="2"/>
  <c r="AK3332" i="2" s="1"/>
  <c r="AG3332" i="2"/>
  <c r="AH3332" i="2"/>
  <c r="AI3332" i="2"/>
  <c r="AJ3332" i="2"/>
  <c r="AF3333" i="2"/>
  <c r="AK3333" i="2"/>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s="1"/>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G3351" i="2"/>
  <c r="AH3351" i="2"/>
  <c r="AI3351" i="2"/>
  <c r="AJ3351" i="2"/>
  <c r="AF3352" i="2"/>
  <c r="AK3352" i="2" s="1"/>
  <c r="AL3352" i="2" s="1"/>
  <c r="AG3352" i="2"/>
  <c r="AH3352" i="2"/>
  <c r="AI3352" i="2"/>
  <c r="AJ3352" i="2"/>
  <c r="AF3353" i="2"/>
  <c r="AK3353" i="2"/>
  <c r="AG3353" i="2"/>
  <c r="AH3353" i="2"/>
  <c r="AI3353" i="2"/>
  <c r="AJ3353" i="2"/>
  <c r="AF3354" i="2"/>
  <c r="AK3354" i="2"/>
  <c r="AG3354" i="2"/>
  <c r="AH3354" i="2"/>
  <c r="AI3354" i="2"/>
  <c r="AJ3354" i="2"/>
  <c r="AF3355" i="2"/>
  <c r="AK3355" i="2"/>
  <c r="AG3355" i="2"/>
  <c r="AH3355" i="2"/>
  <c r="AI3355" i="2"/>
  <c r="AJ3355" i="2"/>
  <c r="AF3356" i="2"/>
  <c r="AK3356" i="2" s="1"/>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s="1"/>
  <c r="AG3360" i="2"/>
  <c r="AH3360" i="2"/>
  <c r="AI3360" i="2"/>
  <c r="AJ3360" i="2"/>
  <c r="AF3361" i="2"/>
  <c r="AK3361" i="2" s="1"/>
  <c r="AG3361" i="2"/>
  <c r="AH3361" i="2"/>
  <c r="AI3361" i="2"/>
  <c r="AJ3361" i="2"/>
  <c r="AF3362" i="2"/>
  <c r="AK3362" i="2"/>
  <c r="AG3362" i="2"/>
  <c r="AH3362" i="2"/>
  <c r="AI3362" i="2"/>
  <c r="AJ3362" i="2"/>
  <c r="AF3363" i="2"/>
  <c r="AK3363" i="2" s="1"/>
  <c r="AG3363" i="2"/>
  <c r="AH3363" i="2"/>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c r="AG3375" i="2"/>
  <c r="AH3375" i="2"/>
  <c r="AI3375" i="2"/>
  <c r="AJ3375" i="2"/>
  <c r="AF3376" i="2"/>
  <c r="AK3376" i="2"/>
  <c r="AG3376" i="2"/>
  <c r="AH3376" i="2"/>
  <c r="AI3376" i="2"/>
  <c r="AJ3376" i="2"/>
  <c r="AF3377" i="2"/>
  <c r="AK3377" i="2" s="1"/>
  <c r="AG3377" i="2"/>
  <c r="AH3377" i="2"/>
  <c r="AI3377" i="2"/>
  <c r="AJ3377" i="2"/>
  <c r="AF3378" i="2"/>
  <c r="AK3378" i="2"/>
  <c r="AG3378" i="2"/>
  <c r="AH3378" i="2"/>
  <c r="AI3378" i="2"/>
  <c r="AJ3378" i="2"/>
  <c r="AF3379" i="2"/>
  <c r="AK3379" i="2"/>
  <c r="AG3379" i="2"/>
  <c r="AH3379" i="2"/>
  <c r="AI3379" i="2"/>
  <c r="AJ3379" i="2"/>
  <c r="AF3380" i="2"/>
  <c r="AK3380" i="2" s="1"/>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c r="AG3384" i="2"/>
  <c r="AH3384" i="2"/>
  <c r="AI3384" i="2"/>
  <c r="AJ3384" i="2"/>
  <c r="AF3385" i="2"/>
  <c r="AK3385" i="2"/>
  <c r="AG3385" i="2"/>
  <c r="AL3385" i="2" s="1"/>
  <c r="AH3385" i="2"/>
  <c r="AI3385" i="2"/>
  <c r="AJ3385" i="2"/>
  <c r="AF3386" i="2"/>
  <c r="AK3386" i="2" s="1"/>
  <c r="AG3386" i="2"/>
  <c r="AH3386" i="2"/>
  <c r="AI3386" i="2"/>
  <c r="AJ3386" i="2"/>
  <c r="AF3387" i="2"/>
  <c r="AK3387" i="2" s="1"/>
  <c r="AG3387" i="2"/>
  <c r="AH3387" i="2"/>
  <c r="AI3387" i="2"/>
  <c r="AJ3387" i="2"/>
  <c r="AF3388" i="2"/>
  <c r="AK3388" i="2"/>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s="1"/>
  <c r="AL3407" i="2" s="1"/>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c r="AG3412" i="2"/>
  <c r="AH3412" i="2"/>
  <c r="AI3412" i="2"/>
  <c r="AJ3412" i="2"/>
  <c r="AF3413" i="2"/>
  <c r="AK3413" i="2"/>
  <c r="AG3413" i="2"/>
  <c r="AH3413" i="2"/>
  <c r="AI3413" i="2"/>
  <c r="AJ3413" i="2"/>
  <c r="AF3414" i="2"/>
  <c r="AK3414" i="2" s="1"/>
  <c r="AG3414" i="2"/>
  <c r="AH3414" i="2"/>
  <c r="AI3414" i="2"/>
  <c r="AJ3414" i="2"/>
  <c r="AF3415" i="2"/>
  <c r="AK3415" i="2" s="1"/>
  <c r="AG3415" i="2"/>
  <c r="AH3415" i="2"/>
  <c r="AI3415" i="2"/>
  <c r="AJ3415" i="2"/>
  <c r="AL3415" i="2" s="1"/>
  <c r="AF3416" i="2"/>
  <c r="AK3416" i="2" s="1"/>
  <c r="AG3416" i="2"/>
  <c r="AH3416" i="2"/>
  <c r="AI3416" i="2"/>
  <c r="AJ3416" i="2"/>
  <c r="AF3417" i="2"/>
  <c r="AK3417" i="2"/>
  <c r="AG3417" i="2"/>
  <c r="AL3417" i="2" s="1"/>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c r="AG3421" i="2"/>
  <c r="AH3421" i="2"/>
  <c r="AL3421" i="2" s="1"/>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s="1"/>
  <c r="AL3427" i="2" s="1"/>
  <c r="AG3427" i="2"/>
  <c r="AH3427" i="2"/>
  <c r="AI3427" i="2"/>
  <c r="AJ3427" i="2"/>
  <c r="AF3428" i="2"/>
  <c r="AK3428" i="2" s="1"/>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c r="AL3437" i="2" s="1"/>
  <c r="AG3437" i="2"/>
  <c r="AH3437" i="2"/>
  <c r="AI3437" i="2"/>
  <c r="AJ3437" i="2"/>
  <c r="AF3438" i="2"/>
  <c r="AK3438" i="2"/>
  <c r="AG3438" i="2"/>
  <c r="AH3438" i="2"/>
  <c r="AL3438" i="2" s="1"/>
  <c r="AI3438" i="2"/>
  <c r="AJ3438" i="2"/>
  <c r="AF3439" i="2"/>
  <c r="AK3439" i="2" s="1"/>
  <c r="AG3439" i="2"/>
  <c r="AH3439" i="2"/>
  <c r="AI3439" i="2"/>
  <c r="AL3439" i="2" s="1"/>
  <c r="AJ3439" i="2"/>
  <c r="AF3440" i="2"/>
  <c r="AK3440" i="2" s="1"/>
  <c r="AL3440" i="2" s="1"/>
  <c r="AG3440" i="2"/>
  <c r="AH3440" i="2"/>
  <c r="AI3440" i="2"/>
  <c r="AJ3440" i="2"/>
  <c r="AF3441" i="2"/>
  <c r="AK3441" i="2" s="1"/>
  <c r="AG3441" i="2"/>
  <c r="AH3441" i="2"/>
  <c r="AI3441" i="2"/>
  <c r="AJ3441" i="2"/>
  <c r="AF3442" i="2"/>
  <c r="AK3442" i="2"/>
  <c r="AL3442" i="2"/>
  <c r="AG3442" i="2"/>
  <c r="AH3442" i="2"/>
  <c r="AI3442" i="2"/>
  <c r="AJ3442" i="2"/>
  <c r="AF3443" i="2"/>
  <c r="AK3443" i="2"/>
  <c r="AG3443" i="2"/>
  <c r="AH3443" i="2"/>
  <c r="AI3443" i="2"/>
  <c r="AJ3443" i="2"/>
  <c r="AF3444" i="2"/>
  <c r="AK3444" i="2"/>
  <c r="AG3444" i="2"/>
  <c r="AH3444" i="2"/>
  <c r="AI3444" i="2"/>
  <c r="AJ3444" i="2"/>
  <c r="AF3445" i="2"/>
  <c r="AK3445" i="2" s="1"/>
  <c r="AG3445" i="2"/>
  <c r="AH3445" i="2"/>
  <c r="AI3445" i="2"/>
  <c r="AJ3445" i="2"/>
  <c r="AF3446" i="2"/>
  <c r="AK3446" i="2" s="1"/>
  <c r="AL3446" i="2" s="1"/>
  <c r="AG3446" i="2"/>
  <c r="AH3446" i="2"/>
  <c r="AI3446" i="2"/>
  <c r="AJ3446" i="2"/>
  <c r="AF3447" i="2"/>
  <c r="AK3447" i="2"/>
  <c r="AG3447" i="2"/>
  <c r="AL3447" i="2" s="1"/>
  <c r="AH3447" i="2"/>
  <c r="AI3447" i="2"/>
  <c r="AJ3447" i="2"/>
  <c r="AF3448" i="2"/>
  <c r="AK3448" i="2"/>
  <c r="AG3448" i="2"/>
  <c r="AH3448" i="2"/>
  <c r="AI3448" i="2"/>
  <c r="AJ3448" i="2"/>
  <c r="AF3449" i="2"/>
  <c r="AK3449" i="2"/>
  <c r="AG3449" i="2"/>
  <c r="AH3449" i="2"/>
  <c r="AI3449" i="2"/>
  <c r="AJ3449" i="2"/>
  <c r="AF3450" i="2"/>
  <c r="AK3450" i="2" s="1"/>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s="1"/>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c r="AG3464" i="2"/>
  <c r="AL3464" i="2" s="1"/>
  <c r="AH3464" i="2"/>
  <c r="AI3464" i="2"/>
  <c r="AJ3464" i="2"/>
  <c r="AF3465" i="2"/>
  <c r="AK3465" i="2"/>
  <c r="AG3465" i="2"/>
  <c r="AH3465" i="2"/>
  <c r="AI3465" i="2"/>
  <c r="AJ3465" i="2"/>
  <c r="AF3466" i="2"/>
  <c r="AK3466" i="2"/>
  <c r="AG3466" i="2"/>
  <c r="AH3466" i="2"/>
  <c r="AI3466" i="2"/>
  <c r="AJ3466" i="2"/>
  <c r="AF3467" i="2"/>
  <c r="AK3467" i="2" s="1"/>
  <c r="AG3467" i="2"/>
  <c r="AH3467" i="2"/>
  <c r="AI3467" i="2"/>
  <c r="AJ3467" i="2"/>
  <c r="AF3468" i="2"/>
  <c r="AK3468" i="2" s="1"/>
  <c r="AG3468" i="2"/>
  <c r="AH3468" i="2"/>
  <c r="AI3468" i="2"/>
  <c r="AJ3468" i="2"/>
  <c r="AF3469" i="2"/>
  <c r="AK3469" i="2"/>
  <c r="AG3469" i="2"/>
  <c r="AH3469" i="2"/>
  <c r="AI3469" i="2"/>
  <c r="AJ3469" i="2"/>
  <c r="AF3470" i="2"/>
  <c r="AK3470" i="2"/>
  <c r="AG3470" i="2"/>
  <c r="AH3470" i="2"/>
  <c r="AI3470" i="2"/>
  <c r="AL3470" i="2" s="1"/>
  <c r="AJ3470" i="2"/>
  <c r="AF3471" i="2"/>
  <c r="AK3471" i="2"/>
  <c r="AG3471" i="2"/>
  <c r="AH3471" i="2"/>
  <c r="AI3471" i="2"/>
  <c r="AJ3471" i="2"/>
  <c r="AF3472" i="2"/>
  <c r="AK3472" i="2" s="1"/>
  <c r="AL3472" i="2" s="1"/>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s="1"/>
  <c r="AG3480" i="2"/>
  <c r="AH3480" i="2"/>
  <c r="AL3480" i="2" s="1"/>
  <c r="AI3480" i="2"/>
  <c r="AJ3480" i="2"/>
  <c r="AF3481" i="2"/>
  <c r="AK3481" i="2" s="1"/>
  <c r="AG3481" i="2"/>
  <c r="AH3481" i="2"/>
  <c r="AI3481" i="2"/>
  <c r="AL3481" i="2" s="1"/>
  <c r="AJ3481" i="2"/>
  <c r="AF3482" i="2"/>
  <c r="AK3482" i="2"/>
  <c r="AG3482" i="2"/>
  <c r="AH3482" i="2"/>
  <c r="AI3482" i="2"/>
  <c r="AJ3482" i="2"/>
  <c r="AF3483" i="2"/>
  <c r="AK3483" i="2"/>
  <c r="AG3483" i="2"/>
  <c r="AH3483" i="2"/>
  <c r="AI3483" i="2"/>
  <c r="AJ3483" i="2"/>
  <c r="AF3484" i="2"/>
  <c r="AK3484" i="2"/>
  <c r="AG3484" i="2"/>
  <c r="AH3484" i="2"/>
  <c r="AI3484" i="2"/>
  <c r="AJ3484" i="2"/>
  <c r="AF3485" i="2"/>
  <c r="AK3485" i="2" s="1"/>
  <c r="AG3485" i="2"/>
  <c r="AH3485" i="2"/>
  <c r="AI3485" i="2"/>
  <c r="AJ3485" i="2"/>
  <c r="AF3486" i="2"/>
  <c r="AK3486" i="2" s="1"/>
  <c r="AG3486" i="2"/>
  <c r="AL3486" i="2" s="1"/>
  <c r="AH3486" i="2"/>
  <c r="AI3486" i="2"/>
  <c r="AJ3486" i="2"/>
  <c r="AF3487" i="2"/>
  <c r="AK3487" i="2"/>
  <c r="AG3487" i="2"/>
  <c r="AH3487" i="2"/>
  <c r="AI3487" i="2"/>
  <c r="AL3487" i="2" s="1"/>
  <c r="AJ3487" i="2"/>
  <c r="AF3488" i="2"/>
  <c r="AK3488" i="2"/>
  <c r="AG3488" i="2"/>
  <c r="AH3488" i="2"/>
  <c r="AI3488" i="2"/>
  <c r="AJ3488" i="2"/>
  <c r="AF3489" i="2"/>
  <c r="AK3489" i="2" s="1"/>
  <c r="AL3489" i="2" s="1"/>
  <c r="AG3489" i="2"/>
  <c r="AH3489" i="2"/>
  <c r="AI3489" i="2"/>
  <c r="AJ3489" i="2"/>
  <c r="AF3490" i="2"/>
  <c r="AK3490" i="2"/>
  <c r="AG3490" i="2"/>
  <c r="AH3490" i="2"/>
  <c r="AI3490" i="2"/>
  <c r="AJ3490" i="2"/>
  <c r="AF3491" i="2"/>
  <c r="AK3491" i="2"/>
  <c r="AG3491" i="2"/>
  <c r="AH3491" i="2"/>
  <c r="AI3491" i="2"/>
  <c r="AJ3491" i="2"/>
  <c r="AF3492" i="2"/>
  <c r="AK3492" i="2"/>
  <c r="AG3492" i="2"/>
  <c r="AH3492" i="2"/>
  <c r="AI3492" i="2"/>
  <c r="AJ3492" i="2"/>
  <c r="AF3493" i="2"/>
  <c r="AK3493" i="2" s="1"/>
  <c r="AG3493" i="2"/>
  <c r="AH3493" i="2"/>
  <c r="AI3493" i="2"/>
  <c r="AJ3493" i="2"/>
  <c r="AF3494" i="2"/>
  <c r="AK3494" i="2" s="1"/>
  <c r="AL3494" i="2" s="1"/>
  <c r="AG3494" i="2"/>
  <c r="AH3494" i="2"/>
  <c r="AI3494" i="2"/>
  <c r="AJ3494" i="2"/>
  <c r="AF3495" i="2"/>
  <c r="AK3495" i="2"/>
  <c r="AG3495" i="2"/>
  <c r="AH3495" i="2"/>
  <c r="AI3495" i="2"/>
  <c r="AJ3495" i="2"/>
  <c r="AF3496" i="2"/>
  <c r="AK3496" i="2"/>
  <c r="AG3496" i="2"/>
  <c r="AH3496" i="2"/>
  <c r="AI3496" i="2"/>
  <c r="AJ3496" i="2"/>
  <c r="AF3497" i="2"/>
  <c r="AK3497" i="2"/>
  <c r="AG3497" i="2"/>
  <c r="AH3497" i="2"/>
  <c r="AL3497" i="2" s="1"/>
  <c r="AI3497" i="2"/>
  <c r="AJ3497" i="2"/>
  <c r="AF3498" i="2"/>
  <c r="AK3498" i="2"/>
  <c r="AG3498" i="2"/>
  <c r="AH3498" i="2"/>
  <c r="AI3498" i="2"/>
  <c r="AJ3498" i="2"/>
  <c r="AF3499" i="2"/>
  <c r="AG3499" i="2"/>
  <c r="AH3499" i="2"/>
  <c r="AI3499" i="2"/>
  <c r="AJ3499" i="2"/>
  <c r="AK3499" i="2"/>
  <c r="AF3500" i="2"/>
  <c r="AK3500" i="2" s="1"/>
  <c r="AG3500" i="2"/>
  <c r="AH3500" i="2"/>
  <c r="AI3500" i="2"/>
  <c r="AJ3500" i="2"/>
  <c r="AF3501" i="2"/>
  <c r="AK3501" i="2"/>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c r="AG3505" i="2"/>
  <c r="AH3505" i="2"/>
  <c r="AI3505" i="2"/>
  <c r="AJ3505" i="2"/>
  <c r="AF3506" i="2"/>
  <c r="AK3506" i="2"/>
  <c r="AG3506" i="2"/>
  <c r="AH3506" i="2"/>
  <c r="AL3506" i="2"/>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c r="AG3510" i="2"/>
  <c r="AH3510" i="2"/>
  <c r="AI3510" i="2"/>
  <c r="AJ3510" i="2"/>
  <c r="AF3511" i="2"/>
  <c r="AK3511" i="2"/>
  <c r="AG3511" i="2"/>
  <c r="AH3511" i="2"/>
  <c r="AI3511" i="2"/>
  <c r="AJ3511" i="2"/>
  <c r="AF3512" i="2"/>
  <c r="AK3512" i="2" s="1"/>
  <c r="AG3512" i="2"/>
  <c r="AH3512" i="2"/>
  <c r="AI3512" i="2"/>
  <c r="AJ3512" i="2"/>
  <c r="AF3513" i="2"/>
  <c r="AK3513" i="2" s="1"/>
  <c r="AL3513" i="2" s="1"/>
  <c r="AG3513" i="2"/>
  <c r="AH3513" i="2"/>
  <c r="AI3513" i="2"/>
  <c r="AJ3513" i="2"/>
  <c r="AF3514" i="2"/>
  <c r="AK3514" i="2"/>
  <c r="AG3514" i="2"/>
  <c r="AL3514" i="2" s="1"/>
  <c r="AH3514" i="2"/>
  <c r="AI3514" i="2"/>
  <c r="AJ3514" i="2"/>
  <c r="AF3515" i="2"/>
  <c r="AK3515" i="2"/>
  <c r="AG3515" i="2"/>
  <c r="AH3515" i="2"/>
  <c r="AI3515" i="2"/>
  <c r="AL3515" i="2" s="1"/>
  <c r="AJ3515" i="2"/>
  <c r="AF3516" i="2"/>
  <c r="AK3516" i="2" s="1"/>
  <c r="AG3516" i="2"/>
  <c r="AH3516" i="2"/>
  <c r="AI3516" i="2"/>
  <c r="AJ3516" i="2"/>
  <c r="AF3517" i="2"/>
  <c r="AK3517" i="2"/>
  <c r="AG3517" i="2"/>
  <c r="AH3517" i="2"/>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s="1"/>
  <c r="AG3521" i="2"/>
  <c r="AL3521" i="2" s="1"/>
  <c r="AH3521" i="2"/>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s="1"/>
  <c r="AG3525" i="2"/>
  <c r="AH3525" i="2"/>
  <c r="AI3525" i="2"/>
  <c r="AJ3525" i="2"/>
  <c r="AF3526" i="2"/>
  <c r="AK3526" i="2" s="1"/>
  <c r="AG3526" i="2"/>
  <c r="AH3526" i="2"/>
  <c r="AI3526" i="2"/>
  <c r="AL3526" i="2" s="1"/>
  <c r="AJ3526" i="2"/>
  <c r="AF3527" i="2"/>
  <c r="AK3527" i="2"/>
  <c r="AG3527" i="2"/>
  <c r="AH3527" i="2"/>
  <c r="AI3527" i="2"/>
  <c r="AJ3527" i="2"/>
  <c r="AF3528" i="2"/>
  <c r="AK3528" i="2"/>
  <c r="AG3528" i="2"/>
  <c r="AH3528" i="2"/>
  <c r="AI3528" i="2"/>
  <c r="AJ3528" i="2"/>
  <c r="AF3529" i="2"/>
  <c r="AK3529" i="2"/>
  <c r="AG3529" i="2"/>
  <c r="AH3529" i="2"/>
  <c r="AI3529" i="2"/>
  <c r="AJ3529" i="2"/>
  <c r="AF3530" i="2"/>
  <c r="AK3530" i="2" s="1"/>
  <c r="AG3530" i="2"/>
  <c r="AH3530" i="2"/>
  <c r="AI3530" i="2"/>
  <c r="AJ3530" i="2"/>
  <c r="AF3531" i="2"/>
  <c r="AK3531" i="2" s="1"/>
  <c r="AG3531" i="2"/>
  <c r="AH3531" i="2"/>
  <c r="AI3531" i="2"/>
  <c r="AJ3531" i="2"/>
  <c r="AF3532" i="2"/>
  <c r="AK3532" i="2"/>
  <c r="AG3532" i="2"/>
  <c r="AL3532" i="2" s="1"/>
  <c r="AH3532" i="2"/>
  <c r="AI3532" i="2"/>
  <c r="AJ3532" i="2"/>
  <c r="AF3533" i="2"/>
  <c r="AK3533" i="2"/>
  <c r="AG3533" i="2"/>
  <c r="AH3533" i="2"/>
  <c r="AI3533" i="2"/>
  <c r="AJ3533" i="2"/>
  <c r="AF3534" i="2"/>
  <c r="AK3534" i="2"/>
  <c r="AG3534" i="2"/>
  <c r="AH3534" i="2"/>
  <c r="AI3534" i="2"/>
  <c r="AJ3534" i="2"/>
  <c r="AF3535" i="2"/>
  <c r="AK3535" i="2" s="1"/>
  <c r="AG3535" i="2"/>
  <c r="AH3535" i="2"/>
  <c r="AI3535" i="2"/>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c r="AG3539" i="2"/>
  <c r="AH3539" i="2"/>
  <c r="AI3539" i="2"/>
  <c r="AJ3539" i="2"/>
  <c r="AF3540" i="2"/>
  <c r="AK3540" i="2" s="1"/>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c r="AG3547" i="2"/>
  <c r="AH3547" i="2"/>
  <c r="AI3547" i="2"/>
  <c r="AJ3547" i="2"/>
  <c r="AF3548" i="2"/>
  <c r="AK3548" i="2" s="1"/>
  <c r="AG3548" i="2"/>
  <c r="AH3548" i="2"/>
  <c r="AI3548" i="2"/>
  <c r="AJ3548" i="2"/>
  <c r="AF3549" i="2"/>
  <c r="AK3549" i="2" s="1"/>
  <c r="AL3549" i="2" s="1"/>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c r="AG3555" i="2"/>
  <c r="AL3555" i="2" s="1"/>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c r="AL3567" i="2" s="1"/>
  <c r="AG3567" i="2"/>
  <c r="AH3567" i="2"/>
  <c r="AI3567" i="2"/>
  <c r="AJ3567" i="2"/>
  <c r="AF3568" i="2"/>
  <c r="AK3568" i="2"/>
  <c r="AG3568" i="2"/>
  <c r="AH3568" i="2"/>
  <c r="AL3568" i="2" s="1"/>
  <c r="AI3568" i="2"/>
  <c r="AJ3568" i="2"/>
  <c r="AF3569" i="2"/>
  <c r="AK3569" i="2" s="1"/>
  <c r="AG3569" i="2"/>
  <c r="AH3569" i="2"/>
  <c r="AI3569" i="2"/>
  <c r="AJ3569" i="2"/>
  <c r="AF3570" i="2"/>
  <c r="AK3570" i="2" s="1"/>
  <c r="AL3570" i="2" s="1"/>
  <c r="AG3570" i="2"/>
  <c r="AH3570" i="2"/>
  <c r="AI3570" i="2"/>
  <c r="AJ3570" i="2"/>
  <c r="AF3571" i="2"/>
  <c r="AK3571" i="2"/>
  <c r="AL3571" i="2"/>
  <c r="AG3571" i="2"/>
  <c r="AH3571" i="2"/>
  <c r="AI3571" i="2"/>
  <c r="AJ3571" i="2"/>
  <c r="AF3572" i="2"/>
  <c r="AK3572" i="2"/>
  <c r="AG3572" i="2"/>
  <c r="AH3572" i="2"/>
  <c r="AL3572" i="2" s="1"/>
  <c r="AI3572" i="2"/>
  <c r="AJ3572" i="2"/>
  <c r="AF3573" i="2"/>
  <c r="AK3573" i="2"/>
  <c r="AG3573" i="2"/>
  <c r="AH3573" i="2"/>
  <c r="AI3573" i="2"/>
  <c r="AJ3573" i="2"/>
  <c r="AL3573" i="2" s="1"/>
  <c r="AF3574" i="2"/>
  <c r="AK3574" i="2" s="1"/>
  <c r="AG3574" i="2"/>
  <c r="AH3574" i="2"/>
  <c r="AI3574" i="2"/>
  <c r="AJ3574" i="2"/>
  <c r="AF3575" i="2"/>
  <c r="AK3575" i="2"/>
  <c r="AG3575" i="2"/>
  <c r="AH3575" i="2"/>
  <c r="AI3575" i="2"/>
  <c r="AJ3575" i="2"/>
  <c r="AF3576" i="2"/>
  <c r="AK3576" i="2"/>
  <c r="AG3576" i="2"/>
  <c r="AH3576" i="2"/>
  <c r="AI3576" i="2"/>
  <c r="AL3576" i="2" s="1"/>
  <c r="AJ3576" i="2"/>
  <c r="AF3577" i="2"/>
  <c r="AK3577" i="2"/>
  <c r="AG3577" i="2"/>
  <c r="AH3577" i="2"/>
  <c r="AI3577" i="2"/>
  <c r="AJ3577" i="2"/>
  <c r="AF3578" i="2"/>
  <c r="AK3578" i="2" s="1"/>
  <c r="AL3578" i="2" s="1"/>
  <c r="AG3578" i="2"/>
  <c r="AH3578" i="2"/>
  <c r="AI3578" i="2"/>
  <c r="AJ3578" i="2"/>
  <c r="AF3579" i="2"/>
  <c r="AK3579" i="2"/>
  <c r="AG3579" i="2"/>
  <c r="AL3579" i="2" s="1"/>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c r="AG3584" i="2"/>
  <c r="AH3584" i="2"/>
  <c r="AI3584" i="2"/>
  <c r="AJ3584" i="2"/>
  <c r="AF3585" i="2"/>
  <c r="AK3585" i="2"/>
  <c r="AG3585" i="2"/>
  <c r="AH3585" i="2"/>
  <c r="AI3585" i="2"/>
  <c r="AJ3585" i="2"/>
  <c r="AF3586" i="2"/>
  <c r="AK3586" i="2" s="1"/>
  <c r="AG3586" i="2"/>
  <c r="AH3586" i="2"/>
  <c r="AI3586" i="2"/>
  <c r="AJ3586" i="2"/>
  <c r="AL3586" i="2" s="1"/>
  <c r="AF3587" i="2"/>
  <c r="AK3587" i="2"/>
  <c r="AG3587" i="2"/>
  <c r="AH3587" i="2"/>
  <c r="AI3587" i="2"/>
  <c r="AJ3587" i="2"/>
  <c r="AF3588" i="2"/>
  <c r="AK3588" i="2"/>
  <c r="AL3588" i="2" s="1"/>
  <c r="AG3588" i="2"/>
  <c r="AH3588" i="2"/>
  <c r="AI3588" i="2"/>
  <c r="AJ3588" i="2"/>
  <c r="AF3589" i="2"/>
  <c r="AK3589" i="2"/>
  <c r="AG3589" i="2"/>
  <c r="AH3589" i="2"/>
  <c r="AL3589" i="2" s="1"/>
  <c r="AI3589" i="2"/>
  <c r="AJ3589" i="2"/>
  <c r="AF3590" i="2"/>
  <c r="AK3590" i="2" s="1"/>
  <c r="AG3590" i="2"/>
  <c r="AH3590" i="2"/>
  <c r="AI3590" i="2"/>
  <c r="AJ3590" i="2"/>
  <c r="AF3591" i="2"/>
  <c r="AK3591" i="2" s="1"/>
  <c r="AL3591" i="2" s="1"/>
  <c r="AG3591" i="2"/>
  <c r="AH3591" i="2"/>
  <c r="AI3591" i="2"/>
  <c r="AJ3591" i="2"/>
  <c r="AF3592" i="2"/>
  <c r="AK3592" i="2"/>
  <c r="AG3592" i="2"/>
  <c r="AH3592" i="2"/>
  <c r="AI3592" i="2"/>
  <c r="AJ3592" i="2"/>
  <c r="AF3593" i="2"/>
  <c r="AK3593" i="2"/>
  <c r="AG3593" i="2"/>
  <c r="AH3593" i="2"/>
  <c r="AI3593" i="2"/>
  <c r="AJ3593" i="2"/>
  <c r="AF3594" i="2"/>
  <c r="AK3594" i="2" s="1"/>
  <c r="AG3594" i="2"/>
  <c r="AH3594" i="2"/>
  <c r="AI3594" i="2"/>
  <c r="AJ3594" i="2"/>
  <c r="AF3595" i="2"/>
  <c r="AK3595" i="2" s="1"/>
  <c r="AL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s="1"/>
  <c r="AG3610" i="2"/>
  <c r="AH3610" i="2"/>
  <c r="AL3610" i="2" s="1"/>
  <c r="AI3610" i="2"/>
  <c r="AJ3610" i="2"/>
  <c r="AF3611" i="2"/>
  <c r="AK3611" i="2" s="1"/>
  <c r="AG3611" i="2"/>
  <c r="AH3611" i="2"/>
  <c r="AI3611" i="2"/>
  <c r="AJ3611" i="2"/>
  <c r="AL3611" i="2" s="1"/>
  <c r="AF3612" i="2"/>
  <c r="AK3612" i="2" s="1"/>
  <c r="AG3612" i="2"/>
  <c r="AH3612" i="2"/>
  <c r="AI3612" i="2"/>
  <c r="AJ3612" i="2"/>
  <c r="AF3613" i="2"/>
  <c r="AK3613" i="2"/>
  <c r="AL3613" i="2"/>
  <c r="AG3613" i="2"/>
  <c r="AH3613" i="2"/>
  <c r="AI3613" i="2"/>
  <c r="AJ3613" i="2"/>
  <c r="AF3614" i="2"/>
  <c r="AK3614" i="2"/>
  <c r="AG3614" i="2"/>
  <c r="AH3614" i="2"/>
  <c r="AI3614" i="2"/>
  <c r="AJ3614" i="2"/>
  <c r="AF3615" i="2"/>
  <c r="AK3615" i="2"/>
  <c r="AG3615" i="2"/>
  <c r="AH3615" i="2"/>
  <c r="AI3615" i="2"/>
  <c r="AJ3615" i="2"/>
  <c r="AF3616" i="2"/>
  <c r="AK3616" i="2" s="1"/>
  <c r="AG3616" i="2"/>
  <c r="AL3616" i="2" s="1"/>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s="1"/>
  <c r="AG3628" i="2"/>
  <c r="AH3628" i="2"/>
  <c r="AI3628" i="2"/>
  <c r="AL3628" i="2"/>
  <c r="AJ3628" i="2"/>
  <c r="AF3629" i="2"/>
  <c r="AK3629" i="2" s="1"/>
  <c r="AG3629" i="2"/>
  <c r="AH3629" i="2"/>
  <c r="AI3629" i="2"/>
  <c r="AJ3629" i="2"/>
  <c r="AF3630" i="2"/>
  <c r="AK3630" i="2"/>
  <c r="AL3630" i="2" s="1"/>
  <c r="AG3630" i="2"/>
  <c r="AH3630" i="2"/>
  <c r="AI3630" i="2"/>
  <c r="AJ3630" i="2"/>
  <c r="AF3631" i="2"/>
  <c r="AK3631" i="2"/>
  <c r="AG3631" i="2"/>
  <c r="AH3631" i="2"/>
  <c r="AI3631" i="2"/>
  <c r="AJ3631" i="2"/>
  <c r="AF3632" i="2"/>
  <c r="AK3632" i="2"/>
  <c r="AG3632" i="2"/>
  <c r="AH3632" i="2"/>
  <c r="AI3632" i="2"/>
  <c r="AJ3632" i="2"/>
  <c r="AF3633" i="2"/>
  <c r="AK3633" i="2" s="1"/>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L3642" i="2" s="1"/>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s="1"/>
  <c r="AL3653" i="2" s="1"/>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c r="AL3666" i="2" s="1"/>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c r="AL3671" i="2" s="1"/>
  <c r="AG3671" i="2"/>
  <c r="AH3671" i="2"/>
  <c r="AI3671" i="2"/>
  <c r="AJ3671" i="2"/>
  <c r="AF3672" i="2"/>
  <c r="AK3672" i="2"/>
  <c r="AG3672" i="2"/>
  <c r="AH3672" i="2"/>
  <c r="AI3672" i="2"/>
  <c r="AJ3672" i="2"/>
  <c r="AF3673" i="2"/>
  <c r="AK3673" i="2"/>
  <c r="AG3673" i="2"/>
  <c r="AH3673" i="2"/>
  <c r="AI3673" i="2"/>
  <c r="AJ3673" i="2"/>
  <c r="AL3673" i="2" s="1"/>
  <c r="AF3674" i="2"/>
  <c r="AK3674" i="2" s="1"/>
  <c r="AG3674" i="2"/>
  <c r="AH3674" i="2"/>
  <c r="AI3674" i="2"/>
  <c r="AJ3674" i="2"/>
  <c r="AF3675" i="2"/>
  <c r="AK3675" i="2"/>
  <c r="AG3675" i="2"/>
  <c r="AL3675" i="2" s="1"/>
  <c r="AH3675" i="2"/>
  <c r="AI3675" i="2"/>
  <c r="AJ3675" i="2"/>
  <c r="AF3676" i="2"/>
  <c r="AK3676" i="2"/>
  <c r="AG3676" i="2"/>
  <c r="AH3676" i="2"/>
  <c r="AL3676" i="2"/>
  <c r="AI3676" i="2"/>
  <c r="AJ3676" i="2"/>
  <c r="AF3677" i="2"/>
  <c r="AK3677" i="2"/>
  <c r="AG3677" i="2"/>
  <c r="AH3677" i="2"/>
  <c r="AI3677" i="2"/>
  <c r="AJ3677" i="2"/>
  <c r="AL3677" i="2" s="1"/>
  <c r="AF3678" i="2"/>
  <c r="AK3678" i="2" s="1"/>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s="1"/>
  <c r="AG3682" i="2"/>
  <c r="AH3682" i="2"/>
  <c r="AI3682" i="2"/>
  <c r="AJ3682" i="2"/>
  <c r="AF3683" i="2"/>
  <c r="AK3683" i="2"/>
  <c r="AG3683" i="2"/>
  <c r="AH3683" i="2"/>
  <c r="AL3683" i="2" s="1"/>
  <c r="AI3683" i="2"/>
  <c r="AJ3683" i="2"/>
  <c r="AF3684" i="2"/>
  <c r="AK3684" i="2" s="1"/>
  <c r="AG3684" i="2"/>
  <c r="AH3684" i="2"/>
  <c r="AI3684" i="2"/>
  <c r="AJ3684" i="2"/>
  <c r="AF3685" i="2"/>
  <c r="AK3685" i="2"/>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s="1"/>
  <c r="AG3691" i="2"/>
  <c r="AH3691" i="2"/>
  <c r="AI3691" i="2"/>
  <c r="AJ3691" i="2"/>
  <c r="AF3692" i="2"/>
  <c r="AK3692" i="2" s="1"/>
  <c r="AL3692" i="2" s="1"/>
  <c r="AG3692" i="2"/>
  <c r="AH3692" i="2"/>
  <c r="AI3692" i="2"/>
  <c r="AJ3692" i="2"/>
  <c r="AF3693" i="2"/>
  <c r="AK3693" i="2"/>
  <c r="AG3693" i="2"/>
  <c r="AH3693" i="2"/>
  <c r="AI3693" i="2"/>
  <c r="AJ3693" i="2"/>
  <c r="AF3694" i="2"/>
  <c r="AK3694" i="2"/>
  <c r="AG3694" i="2"/>
  <c r="AH3694" i="2"/>
  <c r="AI3694" i="2"/>
  <c r="AJ3694" i="2"/>
  <c r="AF3695" i="2"/>
  <c r="AK3695" i="2" s="1"/>
  <c r="AG3695" i="2"/>
  <c r="AH3695" i="2"/>
  <c r="AI3695" i="2"/>
  <c r="AJ3695" i="2"/>
  <c r="AF3696" i="2"/>
  <c r="AK3696" i="2" s="1"/>
  <c r="AL3696" i="2" s="1"/>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s="1"/>
  <c r="AG3707" i="2"/>
  <c r="AH3707" i="2"/>
  <c r="AI3707" i="2"/>
  <c r="AJ3707" i="2"/>
  <c r="AF3708" i="2"/>
  <c r="AK3708" i="2"/>
  <c r="AG3708" i="2"/>
  <c r="AH3708" i="2"/>
  <c r="AI3708" i="2"/>
  <c r="AJ3708" i="2"/>
  <c r="AF3709" i="2"/>
  <c r="AK3709" i="2"/>
  <c r="AL3709" i="2" s="1"/>
  <c r="AG3709" i="2"/>
  <c r="AH3709" i="2"/>
  <c r="AI3709" i="2"/>
  <c r="AJ3709" i="2"/>
  <c r="AF3710" i="2"/>
  <c r="AK3710" i="2"/>
  <c r="AG3710" i="2"/>
  <c r="AL3710" i="2" s="1"/>
  <c r="AH3710" i="2"/>
  <c r="AI3710" i="2"/>
  <c r="AJ3710" i="2"/>
  <c r="AF3711" i="2"/>
  <c r="AK3711" i="2"/>
  <c r="AG3711" i="2"/>
  <c r="AH3711" i="2"/>
  <c r="AL3711" i="2" s="1"/>
  <c r="AI3711" i="2"/>
  <c r="AJ3711" i="2"/>
  <c r="AF3712" i="2"/>
  <c r="AK3712" i="2" s="1"/>
  <c r="AG3712" i="2"/>
  <c r="AH3712" i="2"/>
  <c r="AI3712" i="2"/>
  <c r="AJ3712" i="2"/>
  <c r="AF3713" i="2"/>
  <c r="AK3713" i="2" s="1"/>
  <c r="AL3713" i="2" s="1"/>
  <c r="AG3713" i="2"/>
  <c r="AH3713" i="2"/>
  <c r="AI3713" i="2"/>
  <c r="AJ3713" i="2"/>
  <c r="AF3714" i="2"/>
  <c r="AK3714" i="2" s="1"/>
  <c r="AL3714" i="2" s="1"/>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s="1"/>
  <c r="AG3721" i="2"/>
  <c r="AH3721" i="2"/>
  <c r="AL3721" i="2" s="1"/>
  <c r="AI3721" i="2"/>
  <c r="AJ3721" i="2"/>
  <c r="AF3722" i="2"/>
  <c r="AK3722" i="2" s="1"/>
  <c r="AG3722" i="2"/>
  <c r="AH3722" i="2"/>
  <c r="AI3722" i="2"/>
  <c r="AJ3722" i="2"/>
  <c r="AF3723" i="2"/>
  <c r="AK3723" i="2" s="1"/>
  <c r="AL3723" i="2" s="1"/>
  <c r="AG3723" i="2"/>
  <c r="AH3723" i="2"/>
  <c r="AI3723" i="2"/>
  <c r="AJ3723" i="2"/>
  <c r="AF3724" i="2"/>
  <c r="AK3724" i="2"/>
  <c r="AG3724" i="2"/>
  <c r="AH3724" i="2"/>
  <c r="AI3724" i="2"/>
  <c r="AJ3724" i="2"/>
  <c r="AF3725" i="2"/>
  <c r="AK3725" i="2"/>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c r="AG3729" i="2"/>
  <c r="AH3729" i="2"/>
  <c r="AI3729" i="2"/>
  <c r="AJ3729" i="2"/>
  <c r="AF3730" i="2"/>
  <c r="AK3730" i="2"/>
  <c r="AG3730" i="2"/>
  <c r="AH3730" i="2"/>
  <c r="AI3730" i="2"/>
  <c r="AJ3730" i="2"/>
  <c r="AF3731" i="2"/>
  <c r="AK3731" i="2" s="1"/>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s="1"/>
  <c r="AG3739" i="2"/>
  <c r="AH3739" i="2"/>
  <c r="AI3739" i="2"/>
  <c r="AJ3739" i="2"/>
  <c r="AF3740" i="2"/>
  <c r="AK3740" i="2" s="1"/>
  <c r="AG3740" i="2"/>
  <c r="AH3740" i="2"/>
  <c r="AI3740" i="2"/>
  <c r="AJ3740" i="2"/>
  <c r="AF3741" i="2"/>
  <c r="AK3741" i="2" s="1"/>
  <c r="AG3741" i="2"/>
  <c r="AH3741" i="2"/>
  <c r="AI3741" i="2"/>
  <c r="AJ3741" i="2"/>
  <c r="AF3742" i="2"/>
  <c r="AK3742" i="2"/>
  <c r="AG3742" i="2"/>
  <c r="AH3742" i="2"/>
  <c r="AI3742" i="2"/>
  <c r="AJ3742" i="2"/>
  <c r="AF3743" i="2"/>
  <c r="AK3743" i="2"/>
  <c r="AG3743" i="2"/>
  <c r="AH3743" i="2"/>
  <c r="AI3743" i="2"/>
  <c r="AJ3743" i="2"/>
  <c r="AF3744" i="2"/>
  <c r="AK3744" i="2"/>
  <c r="AG3744" i="2"/>
  <c r="AH3744" i="2"/>
  <c r="AI3744" i="2"/>
  <c r="AJ3744" i="2"/>
  <c r="AF3745" i="2"/>
  <c r="AK3745" i="2" s="1"/>
  <c r="AG3745" i="2"/>
  <c r="AH3745" i="2"/>
  <c r="AI3745" i="2"/>
  <c r="AJ3745" i="2"/>
  <c r="AF3746" i="2"/>
  <c r="AK3746" i="2" s="1"/>
  <c r="AL3746" i="2" s="1"/>
  <c r="AG3746" i="2"/>
  <c r="AH3746" i="2"/>
  <c r="AI3746" i="2"/>
  <c r="AJ3746" i="2"/>
  <c r="AF3747" i="2"/>
  <c r="AK3747" i="2"/>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c r="AG3751" i="2"/>
  <c r="AH3751" i="2"/>
  <c r="AL3751" i="2" s="1"/>
  <c r="AI3751" i="2"/>
  <c r="AJ3751" i="2"/>
  <c r="AF3752" i="2"/>
  <c r="AK3752" i="2"/>
  <c r="AG3752" i="2"/>
  <c r="AH3752" i="2"/>
  <c r="AI3752" i="2"/>
  <c r="AJ3752" i="2"/>
  <c r="AF3753" i="2"/>
  <c r="AK3753" i="2" s="1"/>
  <c r="AG3753" i="2"/>
  <c r="AH3753" i="2"/>
  <c r="AI3753" i="2"/>
  <c r="AJ3753" i="2"/>
  <c r="AF3754" i="2"/>
  <c r="AK3754" i="2"/>
  <c r="AL3754" i="2" s="1"/>
  <c r="AG3754" i="2"/>
  <c r="AH3754" i="2"/>
  <c r="AI3754" i="2"/>
  <c r="AJ3754" i="2"/>
  <c r="AF3755" i="2"/>
  <c r="AK3755" i="2"/>
  <c r="AG3755" i="2"/>
  <c r="AH3755" i="2"/>
  <c r="AI3755" i="2"/>
  <c r="AJ3755" i="2"/>
  <c r="AF3756" i="2"/>
  <c r="AK3756" i="2"/>
  <c r="AG3756" i="2"/>
  <c r="AH3756" i="2"/>
  <c r="AI3756" i="2"/>
  <c r="AJ3756" i="2"/>
  <c r="AF3757" i="2"/>
  <c r="AK3757" i="2"/>
  <c r="AG3757" i="2"/>
  <c r="AH3757" i="2"/>
  <c r="AL3757" i="2" s="1"/>
  <c r="AI3757" i="2"/>
  <c r="AJ3757" i="2"/>
  <c r="AF3758" i="2"/>
  <c r="AK3758" i="2" s="1"/>
  <c r="AG3758" i="2"/>
  <c r="AH3758" i="2"/>
  <c r="AI3758" i="2"/>
  <c r="AL3758" i="2"/>
  <c r="AJ3758" i="2"/>
  <c r="AF3759" i="2"/>
  <c r="AK3759" i="2" s="1"/>
  <c r="AG3759" i="2"/>
  <c r="AH3759" i="2"/>
  <c r="AI3759" i="2"/>
  <c r="AJ3759" i="2"/>
  <c r="AF3760" i="2"/>
  <c r="AK3760" i="2"/>
  <c r="AL3760" i="2" s="1"/>
  <c r="AG3760" i="2"/>
  <c r="AH3760" i="2"/>
  <c r="AI3760" i="2"/>
  <c r="AJ3760" i="2"/>
  <c r="AF3761" i="2"/>
  <c r="AK3761" i="2"/>
  <c r="AL3761" i="2"/>
  <c r="AG3761" i="2"/>
  <c r="AH3761" i="2"/>
  <c r="AI3761" i="2"/>
  <c r="AJ3761" i="2"/>
  <c r="AF3762" i="2"/>
  <c r="AK3762" i="2"/>
  <c r="AG3762" i="2"/>
  <c r="AH3762" i="2"/>
  <c r="AI3762" i="2"/>
  <c r="AJ3762" i="2"/>
  <c r="AF3763" i="2"/>
  <c r="AK3763" i="2"/>
  <c r="AG3763" i="2"/>
  <c r="AH3763" i="2"/>
  <c r="AI3763" i="2"/>
  <c r="AJ3763" i="2"/>
  <c r="AF3764" i="2"/>
  <c r="AK3764" i="2" s="1"/>
  <c r="AG3764" i="2"/>
  <c r="AH3764" i="2"/>
  <c r="AI3764" i="2"/>
  <c r="AJ3764" i="2"/>
  <c r="AF3765" i="2"/>
  <c r="AK3765" i="2" s="1"/>
  <c r="AG3765" i="2"/>
  <c r="AH3765" i="2"/>
  <c r="AI3765" i="2"/>
  <c r="AJ3765" i="2"/>
  <c r="AF3766" i="2"/>
  <c r="AK3766" i="2"/>
  <c r="AL3766" i="2" s="1"/>
  <c r="AG3766" i="2"/>
  <c r="AH3766" i="2"/>
  <c r="AI3766" i="2"/>
  <c r="AJ3766" i="2"/>
  <c r="AF3767" i="2"/>
  <c r="AK3767" i="2"/>
  <c r="AG3767" i="2"/>
  <c r="AH3767" i="2"/>
  <c r="AL3767" i="2" s="1"/>
  <c r="AI3767" i="2"/>
  <c r="AJ3767" i="2"/>
  <c r="AF3768" i="2"/>
  <c r="AK3768" i="2" s="1"/>
  <c r="AG3768" i="2"/>
  <c r="AH3768" i="2"/>
  <c r="AI3768" i="2"/>
  <c r="AJ3768" i="2"/>
  <c r="AF3769" i="2"/>
  <c r="AK3769" i="2" s="1"/>
  <c r="AL3769" i="2" s="1"/>
  <c r="AG3769" i="2"/>
  <c r="AH3769" i="2"/>
  <c r="AI3769" i="2"/>
  <c r="AJ3769" i="2"/>
  <c r="AF3770" i="2"/>
  <c r="AK3770" i="2"/>
  <c r="AG3770" i="2"/>
  <c r="AL3770" i="2" s="1"/>
  <c r="AH3770" i="2"/>
  <c r="AI3770" i="2"/>
  <c r="AJ3770" i="2"/>
  <c r="AF3771" i="2"/>
  <c r="AK3771" i="2"/>
  <c r="AG3771" i="2"/>
  <c r="AH3771" i="2"/>
  <c r="AI3771" i="2"/>
  <c r="AJ3771" i="2"/>
  <c r="AF3772" i="2"/>
  <c r="AK3772" i="2"/>
  <c r="AG3772" i="2"/>
  <c r="AH3772" i="2"/>
  <c r="AI3772" i="2"/>
  <c r="AJ3772" i="2"/>
  <c r="AF3773" i="2"/>
  <c r="AK3773" i="2" s="1"/>
  <c r="AL3773" i="2" s="1"/>
  <c r="AG3773" i="2"/>
  <c r="AH3773" i="2"/>
  <c r="AI3773" i="2"/>
  <c r="AJ3773" i="2"/>
  <c r="AF3774" i="2"/>
  <c r="AK3774" i="2"/>
  <c r="AG3774" i="2"/>
  <c r="AL3774" i="2" s="1"/>
  <c r="AH3774" i="2"/>
  <c r="AI3774" i="2"/>
  <c r="AJ3774" i="2"/>
  <c r="AF3775" i="2"/>
  <c r="AK3775" i="2"/>
  <c r="AG3775" i="2"/>
  <c r="AL3775" i="2" s="1"/>
  <c r="AH3775" i="2"/>
  <c r="AI3775" i="2"/>
  <c r="AJ3775" i="2"/>
  <c r="AF3776" i="2"/>
  <c r="AK3776" i="2"/>
  <c r="AG3776" i="2"/>
  <c r="AH3776" i="2"/>
  <c r="AI3776" i="2"/>
  <c r="AJ3776" i="2"/>
  <c r="AF3777" i="2"/>
  <c r="AK3777" i="2"/>
  <c r="AG3777" i="2"/>
  <c r="AH3777" i="2"/>
  <c r="AI3777" i="2"/>
  <c r="AJ3777" i="2"/>
  <c r="AF3778" i="2"/>
  <c r="AK3778" i="2" s="1"/>
  <c r="AG3778" i="2"/>
  <c r="AH3778" i="2"/>
  <c r="AI3778" i="2"/>
  <c r="AJ3778" i="2"/>
  <c r="AF3779" i="2"/>
  <c r="AK3779" i="2" s="1"/>
  <c r="AG3779" i="2"/>
  <c r="AH3779" i="2"/>
  <c r="AI3779" i="2"/>
  <c r="AJ3779" i="2"/>
  <c r="AF3780" i="2"/>
  <c r="AK3780" i="2"/>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s="1"/>
  <c r="AG3787" i="2"/>
  <c r="AL3787" i="2" s="1"/>
  <c r="AH3787" i="2"/>
  <c r="AI3787" i="2"/>
  <c r="AJ3787" i="2"/>
  <c r="AF3788" i="2"/>
  <c r="AK3788" i="2"/>
  <c r="AG3788" i="2"/>
  <c r="AH3788" i="2"/>
  <c r="AI3788" i="2"/>
  <c r="AJ3788" i="2"/>
  <c r="AF3789" i="2"/>
  <c r="AK3789" i="2"/>
  <c r="AG3789" i="2"/>
  <c r="AH3789" i="2"/>
  <c r="AI3789" i="2"/>
  <c r="AJ3789" i="2"/>
  <c r="AF3790" i="2"/>
  <c r="AK3790" i="2" s="1"/>
  <c r="AG3790" i="2"/>
  <c r="AH3790" i="2"/>
  <c r="AI3790" i="2"/>
  <c r="AJ3790" i="2"/>
  <c r="AF3791" i="2"/>
  <c r="AK3791" i="2" s="1"/>
  <c r="AL3791" i="2" s="1"/>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c r="AG3804" i="2"/>
  <c r="AL3804" i="2"/>
  <c r="AH3804" i="2"/>
  <c r="AI3804" i="2"/>
  <c r="AJ3804" i="2"/>
  <c r="AF3805" i="2"/>
  <c r="AK3805" i="2"/>
  <c r="AG3805" i="2"/>
  <c r="AH3805" i="2"/>
  <c r="AI3805" i="2"/>
  <c r="AJ3805" i="2"/>
  <c r="AF3806" i="2"/>
  <c r="AK3806" i="2"/>
  <c r="AG3806" i="2"/>
  <c r="AH3806" i="2"/>
  <c r="AI3806" i="2"/>
  <c r="AJ3806" i="2"/>
  <c r="AF3807" i="2"/>
  <c r="AK3807" i="2" s="1"/>
  <c r="AG3807" i="2"/>
  <c r="AH3807" i="2"/>
  <c r="AI3807" i="2"/>
  <c r="AJ3807" i="2"/>
  <c r="AF3808" i="2"/>
  <c r="AK3808" i="2" s="1"/>
  <c r="AL3808" i="2" s="1"/>
  <c r="AG3808" i="2"/>
  <c r="AH3808" i="2"/>
  <c r="AI3808" i="2"/>
  <c r="AJ3808" i="2"/>
  <c r="AF3809" i="2"/>
  <c r="AK3809" i="2"/>
  <c r="AG3809" i="2"/>
  <c r="AH3809" i="2"/>
  <c r="AI3809" i="2"/>
  <c r="AJ3809" i="2"/>
  <c r="AF3810" i="2"/>
  <c r="AK3810" i="2"/>
  <c r="AG3810" i="2"/>
  <c r="AL3810" i="2" s="1"/>
  <c r="AH3810" i="2"/>
  <c r="AI3810" i="2"/>
  <c r="AJ3810" i="2"/>
  <c r="AF3811" i="2"/>
  <c r="AK3811" i="2" s="1"/>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c r="AG3825" i="2"/>
  <c r="AH3825" i="2"/>
  <c r="AI3825" i="2"/>
  <c r="AJ3825" i="2"/>
  <c r="AF3826" i="2"/>
  <c r="AK3826" i="2"/>
  <c r="AG3826" i="2"/>
  <c r="AH3826" i="2"/>
  <c r="AI3826" i="2"/>
  <c r="AJ3826" i="2"/>
  <c r="AF3827" i="2"/>
  <c r="AK3827" i="2"/>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c r="AG3831" i="2"/>
  <c r="AH3831" i="2"/>
  <c r="AI3831" i="2"/>
  <c r="AJ3831" i="2"/>
  <c r="AF3832" i="2"/>
  <c r="AK3832" i="2" s="1"/>
  <c r="AG3832" i="2"/>
  <c r="AH3832" i="2"/>
  <c r="AI3832" i="2"/>
  <c r="AJ3832" i="2"/>
  <c r="AF3833" i="2"/>
  <c r="AK3833" i="2" s="1"/>
  <c r="AG3833" i="2"/>
  <c r="AH3833" i="2"/>
  <c r="AI3833" i="2"/>
  <c r="AJ3833" i="2"/>
  <c r="AF3834" i="2"/>
  <c r="AK3834" i="2"/>
  <c r="AG3834" i="2"/>
  <c r="AH3834" i="2"/>
  <c r="AI3834" i="2"/>
  <c r="AJ3834" i="2"/>
  <c r="AF3835" i="2"/>
  <c r="AK3835" i="2"/>
  <c r="AG3835" i="2"/>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L3851" i="2" s="1"/>
  <c r="AG3851" i="2"/>
  <c r="AH3851" i="2"/>
  <c r="AI3851" i="2"/>
  <c r="AJ3851" i="2"/>
  <c r="AF3852" i="2"/>
  <c r="AK3852" i="2" s="1"/>
  <c r="AG3852" i="2"/>
  <c r="AH3852" i="2"/>
  <c r="AI3852" i="2"/>
  <c r="AL3852" i="2" s="1"/>
  <c r="AJ3852" i="2"/>
  <c r="AF3853" i="2"/>
  <c r="AK3853" i="2"/>
  <c r="AG3853" i="2"/>
  <c r="AH3853" i="2"/>
  <c r="AI3853" i="2"/>
  <c r="AJ3853" i="2"/>
  <c r="AF3854" i="2"/>
  <c r="AK3854" i="2" s="1"/>
  <c r="AL3854" i="2" s="1"/>
  <c r="AG3854" i="2"/>
  <c r="AH3854" i="2"/>
  <c r="AI3854" i="2"/>
  <c r="AJ3854" i="2"/>
  <c r="AF3855" i="2"/>
  <c r="AK3855" i="2"/>
  <c r="AG3855" i="2"/>
  <c r="AL3855" i="2" s="1"/>
  <c r="AH3855" i="2"/>
  <c r="AI3855" i="2"/>
  <c r="AJ3855" i="2"/>
  <c r="AF3856" i="2"/>
  <c r="AK3856" i="2" s="1"/>
  <c r="AG3856" i="2"/>
  <c r="AH3856" i="2"/>
  <c r="AI3856" i="2"/>
  <c r="AL3856" i="2"/>
  <c r="AJ3856" i="2"/>
  <c r="AF3857" i="2"/>
  <c r="AK3857" i="2"/>
  <c r="AG3857" i="2"/>
  <c r="AH3857" i="2"/>
  <c r="AI3857" i="2"/>
  <c r="AJ3857" i="2"/>
  <c r="AF3858" i="2"/>
  <c r="AK3858" i="2" s="1"/>
  <c r="AL3858" i="2" s="1"/>
  <c r="AG3858" i="2"/>
  <c r="AH3858" i="2"/>
  <c r="AI3858" i="2"/>
  <c r="AJ3858" i="2"/>
  <c r="AF3859" i="2"/>
  <c r="AK3859" i="2" s="1"/>
  <c r="AG3859" i="2"/>
  <c r="AH3859" i="2"/>
  <c r="AI3859" i="2"/>
  <c r="AJ3859" i="2"/>
  <c r="AF3860" i="2"/>
  <c r="AK3860" i="2"/>
  <c r="AG3860" i="2"/>
  <c r="AH3860" i="2"/>
  <c r="AI3860" i="2"/>
  <c r="AJ3860" i="2"/>
  <c r="AF3861" i="2"/>
  <c r="AK3861" i="2"/>
  <c r="AG3861" i="2"/>
  <c r="AH3861" i="2"/>
  <c r="AI3861" i="2"/>
  <c r="AJ3861" i="2"/>
  <c r="AF3862" i="2"/>
  <c r="AK3862" i="2" s="1"/>
  <c r="AG3862" i="2"/>
  <c r="AH3862" i="2"/>
  <c r="AI3862" i="2"/>
  <c r="AJ3862" i="2"/>
  <c r="AF3863" i="2"/>
  <c r="AK3863" i="2" s="1"/>
  <c r="AG3863" i="2"/>
  <c r="AH3863" i="2"/>
  <c r="AI3863" i="2"/>
  <c r="AJ3863" i="2"/>
  <c r="AF3864" i="2"/>
  <c r="AK3864" i="2"/>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s="1"/>
  <c r="AG3870" i="2"/>
  <c r="AH3870" i="2"/>
  <c r="AI3870" i="2"/>
  <c r="AJ3870" i="2"/>
  <c r="AF3871" i="2"/>
  <c r="AK3871" i="2" s="1"/>
  <c r="AL3871" i="2" s="1"/>
  <c r="AG3871" i="2"/>
  <c r="AH3871" i="2"/>
  <c r="AI3871" i="2"/>
  <c r="AJ3871" i="2"/>
  <c r="AF3872" i="2"/>
  <c r="AK3872" i="2"/>
  <c r="AG3872" i="2"/>
  <c r="AH3872" i="2"/>
  <c r="AI3872" i="2"/>
  <c r="AJ3872" i="2"/>
  <c r="AF3873" i="2"/>
  <c r="AK3873" i="2" s="1"/>
  <c r="AG3873" i="2"/>
  <c r="AH3873" i="2"/>
  <c r="AI3873" i="2"/>
  <c r="AJ3873" i="2"/>
  <c r="AF3874" i="2"/>
  <c r="AK3874" i="2" s="1"/>
  <c r="AL3874" i="2" s="1"/>
  <c r="AG3874" i="2"/>
  <c r="AH3874" i="2"/>
  <c r="AI3874" i="2"/>
  <c r="AJ3874" i="2"/>
  <c r="AF3875" i="2"/>
  <c r="AK3875" i="2" s="1"/>
  <c r="AL3875" i="2" s="1"/>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c r="AG3883" i="2"/>
  <c r="AH3883" i="2"/>
  <c r="AI3883" i="2"/>
  <c r="AJ3883" i="2"/>
  <c r="AL3883" i="2" s="1"/>
  <c r="AF3884" i="2"/>
  <c r="AK3884" i="2" s="1"/>
  <c r="AG3884" i="2"/>
  <c r="AH3884" i="2"/>
  <c r="AI3884" i="2"/>
  <c r="AJ3884" i="2"/>
  <c r="AF3885" i="2"/>
  <c r="AK3885" i="2"/>
  <c r="AL3885" i="2"/>
  <c r="AG3885" i="2"/>
  <c r="AH3885" i="2"/>
  <c r="AI3885" i="2"/>
  <c r="AJ3885" i="2"/>
  <c r="AF3886" i="2"/>
  <c r="AK3886" i="2"/>
  <c r="AG3886" i="2"/>
  <c r="AH3886" i="2"/>
  <c r="AI3886" i="2"/>
  <c r="AJ3886" i="2"/>
  <c r="AF3887" i="2"/>
  <c r="AK3887" i="2"/>
  <c r="AG3887" i="2"/>
  <c r="AH3887" i="2"/>
  <c r="AI3887" i="2"/>
  <c r="AJ3887" i="2"/>
  <c r="AF3888" i="2"/>
  <c r="AK3888" i="2" s="1"/>
  <c r="AG3888" i="2"/>
  <c r="AH3888" i="2"/>
  <c r="AI3888" i="2"/>
  <c r="AJ3888" i="2"/>
  <c r="AF3889" i="2"/>
  <c r="AK3889" i="2" s="1"/>
  <c r="AG3889" i="2"/>
  <c r="AH3889" i="2"/>
  <c r="AI3889" i="2"/>
  <c r="AJ3889" i="2"/>
  <c r="AF3890" i="2"/>
  <c r="AK3890" i="2"/>
  <c r="AG3890" i="2"/>
  <c r="AH3890" i="2"/>
  <c r="AI3890" i="2"/>
  <c r="AJ3890" i="2"/>
  <c r="AF3891" i="2"/>
  <c r="AG3891" i="2"/>
  <c r="AH3891" i="2"/>
  <c r="AI3891" i="2"/>
  <c r="AJ3891" i="2"/>
  <c r="AK3891" i="2"/>
  <c r="AF3892" i="2"/>
  <c r="AK3892" i="2" s="1"/>
  <c r="AG3892" i="2"/>
  <c r="AH3892" i="2"/>
  <c r="AI3892" i="2"/>
  <c r="AJ3892" i="2"/>
  <c r="AF3893" i="2"/>
  <c r="AK3893" i="2"/>
  <c r="AG3893" i="2"/>
  <c r="AH3893" i="2"/>
  <c r="AI3893" i="2"/>
  <c r="AJ3893" i="2"/>
  <c r="AF3894" i="2"/>
  <c r="AK3894" i="2"/>
  <c r="AG3894" i="2"/>
  <c r="AH3894" i="2"/>
  <c r="AI3894" i="2"/>
  <c r="AJ3894" i="2"/>
  <c r="AF3895" i="2"/>
  <c r="AK3895" i="2" s="1"/>
  <c r="AG3895" i="2"/>
  <c r="AH3895" i="2"/>
  <c r="AI3895" i="2"/>
  <c r="AJ3895" i="2"/>
  <c r="AF3896" i="2"/>
  <c r="AK3896" i="2" s="1"/>
  <c r="AG3896" i="2"/>
  <c r="AH3896" i="2"/>
  <c r="AI3896" i="2"/>
  <c r="AJ3896" i="2"/>
  <c r="AF3897" i="2"/>
  <c r="AK3897" i="2"/>
  <c r="AG3897" i="2"/>
  <c r="AH3897" i="2"/>
  <c r="AI3897" i="2"/>
  <c r="AJ3897" i="2"/>
  <c r="AF3898" i="2"/>
  <c r="AK3898" i="2"/>
  <c r="AG3898" i="2"/>
  <c r="AH3898" i="2"/>
  <c r="AI3898" i="2"/>
  <c r="AJ3898" i="2"/>
  <c r="AF3899" i="2"/>
  <c r="AK3899" i="2" s="1"/>
  <c r="AG3899" i="2"/>
  <c r="AL3899" i="2" s="1"/>
  <c r="AH3899" i="2"/>
  <c r="AI3899" i="2"/>
  <c r="AJ3899" i="2"/>
  <c r="AF3900" i="2"/>
  <c r="AK3900" i="2"/>
  <c r="AG3900" i="2"/>
  <c r="AH3900" i="2"/>
  <c r="AI3900" i="2"/>
  <c r="AJ3900" i="2"/>
  <c r="AF3901" i="2"/>
  <c r="AK3901" i="2" s="1"/>
  <c r="AG3901" i="2"/>
  <c r="AH3901" i="2"/>
  <c r="AI3901" i="2"/>
  <c r="AJ3901" i="2"/>
  <c r="AF3902" i="2"/>
  <c r="AK3902" i="2"/>
  <c r="AG3902" i="2"/>
  <c r="AH3902" i="2"/>
  <c r="AI3902" i="2"/>
  <c r="AJ3902" i="2"/>
  <c r="AF3903" i="2"/>
  <c r="AK3903" i="2"/>
  <c r="AG3903" i="2"/>
  <c r="AH3903" i="2"/>
  <c r="AI3903" i="2"/>
  <c r="AJ3903" i="2"/>
  <c r="AF3904" i="2"/>
  <c r="AK3904" i="2" s="1"/>
  <c r="AG3904" i="2"/>
  <c r="AH3904" i="2"/>
  <c r="AI3904" i="2"/>
  <c r="AJ3904" i="2"/>
  <c r="AF3905" i="2"/>
  <c r="AK3905" i="2" s="1"/>
  <c r="AG3905" i="2"/>
  <c r="AH3905" i="2"/>
  <c r="AI3905" i="2"/>
  <c r="AJ3905" i="2"/>
  <c r="AF3906" i="2"/>
  <c r="AK3906" i="2"/>
  <c r="AG3906" i="2"/>
  <c r="AH3906" i="2"/>
  <c r="AI3906" i="2"/>
  <c r="AJ3906" i="2"/>
  <c r="AF3907" i="2"/>
  <c r="AK3907" i="2"/>
  <c r="AG3907" i="2"/>
  <c r="AH3907" i="2"/>
  <c r="AI3907" i="2"/>
  <c r="AJ3907" i="2"/>
  <c r="AF3908" i="2"/>
  <c r="AK3908" i="2" s="1"/>
  <c r="AG3908" i="2"/>
  <c r="AH3908" i="2"/>
  <c r="AI3908" i="2"/>
  <c r="AJ3908" i="2"/>
  <c r="AF3909" i="2"/>
  <c r="AK3909" i="2" s="1"/>
  <c r="AG3909" i="2"/>
  <c r="AH3909" i="2"/>
  <c r="AI3909" i="2"/>
  <c r="AJ3909" i="2"/>
  <c r="AF3910" i="2"/>
  <c r="AK3910" i="2"/>
  <c r="AG3910" i="2"/>
  <c r="AH3910" i="2"/>
  <c r="AI3910" i="2"/>
  <c r="AJ3910" i="2"/>
  <c r="AF3911" i="2"/>
  <c r="AK3911" i="2"/>
  <c r="AG3911" i="2"/>
  <c r="AH3911" i="2"/>
  <c r="AI3911" i="2"/>
  <c r="AJ3911" i="2"/>
  <c r="AF3912" i="2"/>
  <c r="AK3912" i="2" s="1"/>
  <c r="AG3912" i="2"/>
  <c r="AH3912" i="2"/>
  <c r="AI3912" i="2"/>
  <c r="AJ3912" i="2"/>
  <c r="AF3913" i="2"/>
  <c r="AK3913" i="2" s="1"/>
  <c r="AG3913" i="2"/>
  <c r="AH3913" i="2"/>
  <c r="AI3913" i="2"/>
  <c r="AJ3913" i="2"/>
  <c r="AF3914" i="2"/>
  <c r="AK3914" i="2"/>
  <c r="AG3914" i="2"/>
  <c r="AH3914" i="2"/>
  <c r="AI3914" i="2"/>
  <c r="AJ3914" i="2"/>
  <c r="AF3915" i="2"/>
  <c r="AK3915" i="2"/>
  <c r="AG3915" i="2"/>
  <c r="AH3915" i="2"/>
  <c r="AI3915" i="2"/>
  <c r="AJ3915" i="2"/>
  <c r="AF3916" i="2"/>
  <c r="AK3916" i="2"/>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s="1"/>
  <c r="AG3922" i="2"/>
  <c r="AH3922" i="2"/>
  <c r="AI3922" i="2"/>
  <c r="AJ3922" i="2"/>
  <c r="AF3923" i="2"/>
  <c r="AK3923" i="2" s="1"/>
  <c r="AL3923" i="2" s="1"/>
  <c r="AG3923" i="2"/>
  <c r="AH3923" i="2"/>
  <c r="AI3923" i="2"/>
  <c r="AJ3923" i="2"/>
  <c r="AF3924" i="2"/>
  <c r="AK3924" i="2"/>
  <c r="AG3924" i="2"/>
  <c r="AH3924" i="2"/>
  <c r="AI3924" i="2"/>
  <c r="AJ3924" i="2"/>
  <c r="AF3925" i="2"/>
  <c r="AK3925" i="2"/>
  <c r="AG3925" i="2"/>
  <c r="AH3925" i="2"/>
  <c r="AI3925" i="2"/>
  <c r="AL3925" i="2" s="1"/>
  <c r="AJ3925" i="2"/>
  <c r="AF3926" i="2"/>
  <c r="AK3926" i="2" s="1"/>
  <c r="AG3926" i="2"/>
  <c r="AH3926" i="2"/>
  <c r="AI3926" i="2"/>
  <c r="AJ3926" i="2"/>
  <c r="AF3927" i="2"/>
  <c r="AK3927" i="2" s="1"/>
  <c r="AG3927" i="2"/>
  <c r="AH3927" i="2"/>
  <c r="AI3927" i="2"/>
  <c r="AJ3927" i="2"/>
  <c r="AF3928" i="2"/>
  <c r="AK3928" i="2"/>
  <c r="AG3928" i="2"/>
  <c r="AL3928" i="2" s="1"/>
  <c r="AH3928" i="2"/>
  <c r="AI3928" i="2"/>
  <c r="AJ3928" i="2"/>
  <c r="AF3929" i="2"/>
  <c r="AK3929" i="2"/>
  <c r="AG3929" i="2"/>
  <c r="AH3929" i="2"/>
  <c r="AI3929" i="2"/>
  <c r="AJ3929" i="2"/>
  <c r="AF3930" i="2"/>
  <c r="AK3930" i="2" s="1"/>
  <c r="AG3930" i="2"/>
  <c r="AH3930" i="2"/>
  <c r="AI3930" i="2"/>
  <c r="AJ3930" i="2"/>
  <c r="AF3931" i="2"/>
  <c r="AK3931" i="2" s="1"/>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s="1"/>
  <c r="AG3935" i="2"/>
  <c r="AH3935" i="2"/>
  <c r="AI3935" i="2"/>
  <c r="AJ3935" i="2"/>
  <c r="AF3936" i="2"/>
  <c r="AK3936" i="2" s="1"/>
  <c r="AL3936" i="2" s="1"/>
  <c r="AG3936" i="2"/>
  <c r="AH3936" i="2"/>
  <c r="AI3936" i="2"/>
  <c r="AJ3936" i="2"/>
  <c r="AF3937" i="2"/>
  <c r="AK3937" i="2" s="1"/>
  <c r="AG3937" i="2"/>
  <c r="AH3937" i="2"/>
  <c r="AI3937" i="2"/>
  <c r="AJ3937" i="2"/>
  <c r="AF3938" i="2"/>
  <c r="AK3938" i="2"/>
  <c r="AG3938" i="2"/>
  <c r="AH3938" i="2"/>
  <c r="AI3938" i="2"/>
  <c r="AJ3938" i="2"/>
  <c r="AF3939" i="2"/>
  <c r="AK3939" i="2"/>
  <c r="AG3939" i="2"/>
  <c r="AH3939" i="2"/>
  <c r="AI3939" i="2"/>
  <c r="AL3939" i="2" s="1"/>
  <c r="AJ3939" i="2"/>
  <c r="AF3940" i="2"/>
  <c r="AK3940" i="2" s="1"/>
  <c r="AG3940" i="2"/>
  <c r="AH3940" i="2"/>
  <c r="AI3940" i="2"/>
  <c r="AJ3940" i="2"/>
  <c r="AF3941" i="2"/>
  <c r="AK3941" i="2"/>
  <c r="AL3941" i="2" s="1"/>
  <c r="AG3941" i="2"/>
  <c r="AH3941" i="2"/>
  <c r="AI3941" i="2"/>
  <c r="AJ3941" i="2"/>
  <c r="AF3942" i="2"/>
  <c r="AK3942" i="2"/>
  <c r="AG3942" i="2"/>
  <c r="AH3942" i="2"/>
  <c r="AL3942" i="2" s="1"/>
  <c r="AI3942" i="2"/>
  <c r="AJ3942" i="2"/>
  <c r="AF3943" i="2"/>
  <c r="AK3943" i="2"/>
  <c r="AG3943" i="2"/>
  <c r="AH3943" i="2"/>
  <c r="AI3943" i="2"/>
  <c r="AJ3943" i="2"/>
  <c r="AL3943" i="2" s="1"/>
  <c r="AF3944" i="2"/>
  <c r="AK3944" i="2" s="1"/>
  <c r="AG3944" i="2"/>
  <c r="AH3944" i="2"/>
  <c r="AI3944" i="2"/>
  <c r="AJ3944" i="2"/>
  <c r="AF3945" i="2"/>
  <c r="AK3945" i="2"/>
  <c r="AG3945" i="2"/>
  <c r="AL3945" i="2" s="1"/>
  <c r="AH3945" i="2"/>
  <c r="AI3945" i="2"/>
  <c r="AJ3945" i="2"/>
  <c r="AF3946" i="2"/>
  <c r="AK3946" i="2"/>
  <c r="AG3946" i="2"/>
  <c r="AH3946" i="2"/>
  <c r="AI3946" i="2"/>
  <c r="AL3946" i="2" s="1"/>
  <c r="AJ3946" i="2"/>
  <c r="AF3947" i="2"/>
  <c r="AK3947" i="2"/>
  <c r="AG3947" i="2"/>
  <c r="AH3947" i="2"/>
  <c r="AI3947" i="2"/>
  <c r="AJ3947" i="2"/>
  <c r="AF3948" i="2"/>
  <c r="AK3948" i="2" s="1"/>
  <c r="AG3948" i="2"/>
  <c r="AH3948" i="2"/>
  <c r="AI3948" i="2"/>
  <c r="AJ3948" i="2"/>
  <c r="AF3949" i="2"/>
  <c r="AK3949" i="2" s="1"/>
  <c r="AG3949" i="2"/>
  <c r="AH3949" i="2"/>
  <c r="AI3949" i="2"/>
  <c r="AJ3949" i="2"/>
  <c r="AF3950" i="2"/>
  <c r="AK3950" i="2" s="1"/>
  <c r="AG3950" i="2"/>
  <c r="AH3950" i="2"/>
  <c r="AI3950" i="2"/>
  <c r="AJ3950" i="2"/>
  <c r="AF3951" i="2"/>
  <c r="AK3951" i="2"/>
  <c r="AG3951" i="2"/>
  <c r="AH3951" i="2"/>
  <c r="AI3951" i="2"/>
  <c r="AJ3951" i="2"/>
  <c r="AF3952" i="2"/>
  <c r="AK3952" i="2" s="1"/>
  <c r="AG3952" i="2"/>
  <c r="AH3952" i="2"/>
  <c r="AI3952" i="2"/>
  <c r="AJ3952" i="2"/>
  <c r="AF3953" i="2"/>
  <c r="AK3953" i="2" s="1"/>
  <c r="AG3953" i="2"/>
  <c r="AH3953" i="2"/>
  <c r="AI3953" i="2"/>
  <c r="AJ3953" i="2"/>
  <c r="AF3954" i="2"/>
  <c r="AK3954" i="2" s="1"/>
  <c r="AG3954" i="2"/>
  <c r="AH3954" i="2"/>
  <c r="AI3954" i="2"/>
  <c r="AJ3954" i="2"/>
  <c r="AF3955" i="2"/>
  <c r="AK3955" i="2"/>
  <c r="AL3955" i="2"/>
  <c r="AG3955" i="2"/>
  <c r="AH3955" i="2"/>
  <c r="AI3955" i="2"/>
  <c r="AJ3955" i="2"/>
  <c r="AF3956" i="2"/>
  <c r="AK3956" i="2"/>
  <c r="AG3956" i="2"/>
  <c r="AH3956" i="2"/>
  <c r="AI3956" i="2"/>
  <c r="AJ3956" i="2"/>
  <c r="AF3957" i="2"/>
  <c r="AK3957" i="2"/>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s="1"/>
  <c r="AG3963" i="2"/>
  <c r="AH3963" i="2"/>
  <c r="AI3963" i="2"/>
  <c r="AJ3963" i="2"/>
  <c r="AF3964" i="2"/>
  <c r="AK3964" i="2" s="1"/>
  <c r="AG3964" i="2"/>
  <c r="AH3964" i="2"/>
  <c r="AI3964" i="2"/>
  <c r="AJ3964" i="2"/>
  <c r="AF3965" i="2"/>
  <c r="AK3965" i="2"/>
  <c r="AG3965" i="2"/>
  <c r="AH3965" i="2"/>
  <c r="AI3965" i="2"/>
  <c r="AJ3965" i="2"/>
  <c r="AF3966" i="2"/>
  <c r="AK3966" i="2"/>
  <c r="AG3966" i="2"/>
  <c r="AH3966" i="2"/>
  <c r="AI3966" i="2"/>
  <c r="AL3966" i="2" s="1"/>
  <c r="AJ3966" i="2"/>
  <c r="AF3967" i="2"/>
  <c r="AK3967" i="2" s="1"/>
  <c r="AG3967" i="2"/>
  <c r="AH3967" i="2"/>
  <c r="AI3967" i="2"/>
  <c r="AJ3967" i="2"/>
  <c r="AF3968" i="2"/>
  <c r="AK3968" i="2"/>
  <c r="AL3968" i="2" s="1"/>
  <c r="AG3968" i="2"/>
  <c r="AH3968" i="2"/>
  <c r="AI3968" i="2"/>
  <c r="AJ3968" i="2"/>
  <c r="AF3969" i="2"/>
  <c r="AK3969" i="2"/>
  <c r="AG3969" i="2"/>
  <c r="AH3969" i="2"/>
  <c r="AI3969" i="2"/>
  <c r="AJ3969" i="2"/>
  <c r="AF3970" i="2"/>
  <c r="AK3970" i="2"/>
  <c r="AG3970" i="2"/>
  <c r="AH3970" i="2"/>
  <c r="AI3970" i="2"/>
  <c r="AJ3970" i="2"/>
  <c r="AL3970" i="2" s="1"/>
  <c r="AF3971" i="2"/>
  <c r="AK3971" i="2" s="1"/>
  <c r="AG3971" i="2"/>
  <c r="AH3971" i="2"/>
  <c r="AI3971" i="2"/>
  <c r="AJ3971" i="2"/>
  <c r="AF3972" i="2"/>
  <c r="AK3972" i="2" s="1"/>
  <c r="AG3972" i="2"/>
  <c r="AH3972" i="2"/>
  <c r="AI3972" i="2"/>
  <c r="AJ3972" i="2"/>
  <c r="AF3973" i="2"/>
  <c r="AK3973" i="2"/>
  <c r="AG3973" i="2"/>
  <c r="AH3973" i="2"/>
  <c r="AI3973" i="2"/>
  <c r="AJ3973" i="2"/>
  <c r="AF3974" i="2"/>
  <c r="AK3974" i="2"/>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c r="AG3984" i="2"/>
  <c r="AH3984" i="2"/>
  <c r="AI3984" i="2"/>
  <c r="AJ3984" i="2"/>
  <c r="AF3985" i="2"/>
  <c r="AK3985" i="2"/>
  <c r="AG3985" i="2"/>
  <c r="AH3985" i="2"/>
  <c r="AI3985" i="2"/>
  <c r="AJ3985" i="2"/>
  <c r="AF3986" i="2"/>
  <c r="AK3986" i="2" s="1"/>
  <c r="AG3986" i="2"/>
  <c r="AH3986" i="2"/>
  <c r="AI3986" i="2"/>
  <c r="AJ3986" i="2"/>
  <c r="AF3987" i="2"/>
  <c r="AK3987" i="2" s="1"/>
  <c r="AG3987" i="2"/>
  <c r="AH3987" i="2"/>
  <c r="AI3987" i="2"/>
  <c r="AJ3987" i="2"/>
  <c r="AF3988" i="2"/>
  <c r="AK3988" i="2"/>
  <c r="AG3988" i="2"/>
  <c r="AH3988" i="2"/>
  <c r="AI3988" i="2"/>
  <c r="AJ3988" i="2"/>
  <c r="AF3989" i="2"/>
  <c r="AK3989" i="2"/>
  <c r="AL3989" i="2" s="1"/>
  <c r="AG3989" i="2"/>
  <c r="AH3989" i="2"/>
  <c r="AI3989" i="2"/>
  <c r="AJ3989" i="2"/>
  <c r="AF3990" i="2"/>
  <c r="AK3990" i="2"/>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c r="AG3994" i="2"/>
  <c r="AH3994" i="2"/>
  <c r="AI3994" i="2"/>
  <c r="AJ3994" i="2"/>
  <c r="AF3995" i="2"/>
  <c r="AK3995" i="2" s="1"/>
  <c r="AG3995" i="2"/>
  <c r="AH3995" i="2"/>
  <c r="AI3995" i="2"/>
  <c r="AJ3995" i="2"/>
  <c r="AF3996" i="2"/>
  <c r="AK3996" i="2" s="1"/>
  <c r="AG3996" i="2"/>
  <c r="AH3996" i="2"/>
  <c r="AI3996" i="2"/>
  <c r="AJ3996" i="2"/>
  <c r="AF3997" i="2"/>
  <c r="AK3997" i="2"/>
  <c r="AG3997" i="2"/>
  <c r="AH3997" i="2"/>
  <c r="AI3997" i="2"/>
  <c r="AJ3997" i="2"/>
  <c r="AF3998" i="2"/>
  <c r="AK3998" i="2"/>
  <c r="AG3998" i="2"/>
  <c r="AH3998" i="2"/>
  <c r="AI3998" i="2"/>
  <c r="AJ3998" i="2"/>
  <c r="AF3999" i="2"/>
  <c r="AK3999" i="2" s="1"/>
  <c r="AG3999" i="2"/>
  <c r="AH3999" i="2"/>
  <c r="AI3999" i="2"/>
  <c r="AJ3999" i="2"/>
  <c r="AF4000" i="2"/>
  <c r="AK4000" i="2" s="1"/>
  <c r="AG4000" i="2"/>
  <c r="AH4000" i="2"/>
  <c r="AI4000" i="2"/>
  <c r="AJ4000" i="2"/>
  <c r="AF4001" i="2"/>
  <c r="AK4001" i="2"/>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F4005" i="2"/>
  <c r="AK4005" i="2"/>
  <c r="AG4005" i="2"/>
  <c r="AH4005" i="2"/>
  <c r="AI4005" i="2"/>
  <c r="AJ4005" i="2"/>
  <c r="AF4006" i="2"/>
  <c r="AK4006" i="2"/>
  <c r="AG4006" i="2"/>
  <c r="AH4006" i="2"/>
  <c r="AI4006" i="2"/>
  <c r="AJ4006" i="2"/>
  <c r="AF4007" i="2"/>
  <c r="AK4007" i="2" s="1"/>
  <c r="AG4007" i="2"/>
  <c r="AH4007" i="2"/>
  <c r="AI4007" i="2"/>
  <c r="AJ4007" i="2"/>
  <c r="AF4008" i="2"/>
  <c r="AK4008" i="2" s="1"/>
  <c r="AG4008" i="2"/>
  <c r="AH4008" i="2"/>
  <c r="AI4008" i="2"/>
  <c r="AJ4008" i="2"/>
  <c r="AF4009" i="2"/>
  <c r="AK4009" i="2"/>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c r="AG4013" i="2"/>
  <c r="AH4013" i="2"/>
  <c r="AI4013" i="2"/>
  <c r="AJ4013" i="2"/>
  <c r="AF4014" i="2"/>
  <c r="AK4014" i="2"/>
  <c r="AG4014" i="2"/>
  <c r="AH4014" i="2"/>
  <c r="AI4014" i="2"/>
  <c r="AJ4014" i="2"/>
  <c r="AF4015" i="2"/>
  <c r="AK4015" i="2" s="1"/>
  <c r="AG4015" i="2"/>
  <c r="AH4015" i="2"/>
  <c r="AI4015" i="2"/>
  <c r="AJ4015" i="2"/>
  <c r="AF4016" i="2"/>
  <c r="AK4016" i="2" s="1"/>
  <c r="AG4016" i="2"/>
  <c r="AH4016" i="2"/>
  <c r="AI4016" i="2"/>
  <c r="AJ4016" i="2"/>
  <c r="AF4017" i="2"/>
  <c r="AK4017" i="2"/>
  <c r="AG4017" i="2"/>
  <c r="AH4017" i="2"/>
  <c r="AI4017" i="2"/>
  <c r="AJ4017" i="2"/>
  <c r="AF4018" i="2"/>
  <c r="AK4018" i="2"/>
  <c r="AG4018" i="2"/>
  <c r="AH4018" i="2"/>
  <c r="AI4018" i="2"/>
  <c r="AJ4018" i="2"/>
  <c r="AF4019" i="2"/>
  <c r="AK4019" i="2" s="1"/>
  <c r="AG4019" i="2"/>
  <c r="AH4019" i="2"/>
  <c r="AI4019" i="2"/>
  <c r="AJ4019" i="2"/>
  <c r="AF4020" i="2"/>
  <c r="AK4020" i="2" s="1"/>
  <c r="AG4020" i="2"/>
  <c r="AH4020" i="2"/>
  <c r="AI4020" i="2"/>
  <c r="AJ4020" i="2"/>
  <c r="AF4021" i="2"/>
  <c r="AK4021" i="2"/>
  <c r="AG4021" i="2"/>
  <c r="AH4021" i="2"/>
  <c r="AI4021" i="2"/>
  <c r="AJ4021" i="2"/>
  <c r="AF4022" i="2"/>
  <c r="AK4022" i="2"/>
  <c r="AG4022" i="2"/>
  <c r="AH4022" i="2"/>
  <c r="AI4022" i="2"/>
  <c r="AJ4022" i="2"/>
  <c r="AF4023" i="2"/>
  <c r="AK4023" i="2" s="1"/>
  <c r="AG4023" i="2"/>
  <c r="AH4023" i="2"/>
  <c r="AI4023" i="2"/>
  <c r="AJ4023" i="2"/>
  <c r="AF4024" i="2"/>
  <c r="AK4024" i="2" s="1"/>
  <c r="AG4024" i="2"/>
  <c r="AH4024" i="2"/>
  <c r="AI4024" i="2"/>
  <c r="AJ4024" i="2"/>
  <c r="AF4025" i="2"/>
  <c r="AK4025" i="2"/>
  <c r="AG4025" i="2"/>
  <c r="AH4025" i="2"/>
  <c r="AI4025" i="2"/>
  <c r="AJ4025" i="2"/>
  <c r="AF4026" i="2"/>
  <c r="AK4026" i="2"/>
  <c r="AG4026" i="2"/>
  <c r="AH4026" i="2"/>
  <c r="AI4026" i="2"/>
  <c r="AJ4026" i="2"/>
  <c r="AF4027" i="2"/>
  <c r="AK4027" i="2" s="1"/>
  <c r="AG4027" i="2"/>
  <c r="AH4027" i="2"/>
  <c r="AI4027" i="2"/>
  <c r="AJ4027" i="2"/>
  <c r="AF4028" i="2"/>
  <c r="AK4028" i="2" s="1"/>
  <c r="AG4028" i="2"/>
  <c r="AH4028" i="2"/>
  <c r="AI4028" i="2"/>
  <c r="AJ4028" i="2"/>
  <c r="AF4029" i="2"/>
  <c r="AK4029" i="2"/>
  <c r="AG4029" i="2"/>
  <c r="AH4029" i="2"/>
  <c r="AI4029" i="2"/>
  <c r="AJ4029" i="2"/>
  <c r="AF4030" i="2"/>
  <c r="AK4030" i="2"/>
  <c r="AG4030" i="2"/>
  <c r="AH4030" i="2"/>
  <c r="AI4030" i="2"/>
  <c r="AJ4030" i="2"/>
  <c r="AF4031" i="2"/>
  <c r="AK4031" i="2" s="1"/>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s="1"/>
  <c r="AG4035" i="2"/>
  <c r="AH4035" i="2"/>
  <c r="AI4035" i="2"/>
  <c r="AJ4035" i="2"/>
  <c r="AF4036" i="2"/>
  <c r="AK4036" i="2" s="1"/>
  <c r="AG4036" i="2"/>
  <c r="AH4036" i="2"/>
  <c r="AI4036" i="2"/>
  <c r="AJ4036" i="2"/>
  <c r="AF4037" i="2"/>
  <c r="AK4037" i="2"/>
  <c r="AG4037" i="2"/>
  <c r="AH4037" i="2"/>
  <c r="AI4037" i="2"/>
  <c r="AJ4037" i="2"/>
  <c r="AF4038" i="2"/>
  <c r="AK4038" i="2"/>
  <c r="AG4038" i="2"/>
  <c r="AH4038" i="2"/>
  <c r="AI4038" i="2"/>
  <c r="AJ4038" i="2"/>
  <c r="AF4039" i="2"/>
  <c r="AK4039" i="2" s="1"/>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s="1"/>
  <c r="AG4043" i="2"/>
  <c r="AH4043" i="2"/>
  <c r="AI4043" i="2"/>
  <c r="AL4043" i="2" s="1"/>
  <c r="AJ4043" i="2"/>
  <c r="AF4044" i="2"/>
  <c r="AK4044" i="2"/>
  <c r="AG4044" i="2"/>
  <c r="AH4044" i="2"/>
  <c r="AI4044" i="2"/>
  <c r="AJ4044" i="2"/>
  <c r="AF4045" i="2"/>
  <c r="AK4045" i="2" s="1"/>
  <c r="AG4045" i="2"/>
  <c r="AH4045" i="2"/>
  <c r="AI4045" i="2"/>
  <c r="AJ4045" i="2"/>
  <c r="AF4046" i="2"/>
  <c r="AK4046" i="2" s="1"/>
  <c r="AL4046" i="2" s="1"/>
  <c r="AG4046" i="2"/>
  <c r="AH4046" i="2"/>
  <c r="AI4046" i="2"/>
  <c r="AJ4046" i="2"/>
  <c r="AF4047" i="2"/>
  <c r="AK4047" i="2"/>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c r="AG4051" i="2"/>
  <c r="AH4051" i="2"/>
  <c r="AI4051" i="2"/>
  <c r="AJ4051" i="2"/>
  <c r="AF4052" i="2"/>
  <c r="AK4052" i="2" s="1"/>
  <c r="AG4052" i="2"/>
  <c r="AH4052" i="2"/>
  <c r="AL4052" i="2"/>
  <c r="AI4052" i="2"/>
  <c r="AJ4052" i="2"/>
  <c r="AF4053" i="2"/>
  <c r="AK4053" i="2"/>
  <c r="AG4053" i="2"/>
  <c r="AH4053" i="2"/>
  <c r="AI4053" i="2"/>
  <c r="AJ4053" i="2"/>
  <c r="AF4054" i="2"/>
  <c r="AK4054" i="2" s="1"/>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F4059" i="2"/>
  <c r="AK4059" i="2" s="1"/>
  <c r="AL4059" i="2" s="1"/>
  <c r="AG4059" i="2"/>
  <c r="AH4059" i="2"/>
  <c r="AI4059" i="2"/>
  <c r="AJ4059" i="2"/>
  <c r="AF4060" i="2"/>
  <c r="AK4060" i="2"/>
  <c r="AG4060" i="2"/>
  <c r="AL4060" i="2" s="1"/>
  <c r="AH4060" i="2"/>
  <c r="AI4060" i="2"/>
  <c r="AJ4060" i="2"/>
  <c r="AF4061" i="2"/>
  <c r="AK4061" i="2"/>
  <c r="AG4061" i="2"/>
  <c r="AH4061" i="2"/>
  <c r="AI4061" i="2"/>
  <c r="AL4061" i="2" s="1"/>
  <c r="AJ4061" i="2"/>
  <c r="AF4062" i="2"/>
  <c r="AK4062" i="2" s="1"/>
  <c r="AG4062" i="2"/>
  <c r="AH4062" i="2"/>
  <c r="AI4062" i="2"/>
  <c r="AJ4062" i="2"/>
  <c r="AF4063" i="2"/>
  <c r="AK4063" i="2"/>
  <c r="AL4063" i="2" s="1"/>
  <c r="AG4063" i="2"/>
  <c r="AH4063" i="2"/>
  <c r="AI4063" i="2"/>
  <c r="AJ4063" i="2"/>
  <c r="AF4064" i="2"/>
  <c r="AK4064" i="2"/>
  <c r="AG4064" i="2"/>
  <c r="AH4064" i="2"/>
  <c r="AL4064" i="2" s="1"/>
  <c r="AI4064" i="2"/>
  <c r="AJ4064" i="2"/>
  <c r="AF4065" i="2"/>
  <c r="AK4065" i="2"/>
  <c r="AG4065" i="2"/>
  <c r="AH4065" i="2"/>
  <c r="AI4065" i="2"/>
  <c r="AJ4065" i="2"/>
  <c r="AL4065" i="2" s="1"/>
  <c r="AF4066" i="2"/>
  <c r="AK4066" i="2" s="1"/>
  <c r="AG4066" i="2"/>
  <c r="AH4066" i="2"/>
  <c r="AI4066" i="2"/>
  <c r="AJ4066" i="2"/>
  <c r="AF4067" i="2"/>
  <c r="AK4067" i="2"/>
  <c r="AG4067" i="2"/>
  <c r="AL4067" i="2" s="1"/>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s="1"/>
  <c r="AG4071" i="2"/>
  <c r="AH4071" i="2"/>
  <c r="AI4071" i="2"/>
  <c r="AJ4071" i="2"/>
  <c r="AF4072" i="2"/>
  <c r="AK4072" i="2"/>
  <c r="AG4072" i="2"/>
  <c r="AH4072" i="2"/>
  <c r="AI4072" i="2"/>
  <c r="AJ4072" i="2"/>
  <c r="AF4073" i="2"/>
  <c r="AK4073" i="2" s="1"/>
  <c r="AL4073" i="2" s="1"/>
  <c r="AG4073" i="2"/>
  <c r="AH4073" i="2"/>
  <c r="AI4073" i="2"/>
  <c r="AJ4073" i="2"/>
  <c r="AF4074" i="2"/>
  <c r="AK4074" i="2" s="1"/>
  <c r="AG4074" i="2"/>
  <c r="AH4074" i="2"/>
  <c r="AI4074" i="2"/>
  <c r="AJ4074" i="2"/>
  <c r="AF4075" i="2"/>
  <c r="AK4075" i="2" s="1"/>
  <c r="AG4075" i="2"/>
  <c r="AH4075" i="2"/>
  <c r="AI4075" i="2"/>
  <c r="AJ4075" i="2"/>
  <c r="AL4075" i="2" s="1"/>
  <c r="AF4076" i="2"/>
  <c r="AK4076" i="2" s="1"/>
  <c r="AG4076" i="2"/>
  <c r="AL4076" i="2" s="1"/>
  <c r="AH4076" i="2"/>
  <c r="AI4076" i="2"/>
  <c r="AJ4076" i="2"/>
  <c r="AF4077" i="2"/>
  <c r="AK4077" i="2"/>
  <c r="AG4077" i="2"/>
  <c r="AH4077" i="2"/>
  <c r="AI4077" i="2"/>
  <c r="AL4077" i="2" s="1"/>
  <c r="AJ4077" i="2"/>
  <c r="AF4078" i="2"/>
  <c r="AK4078" i="2"/>
  <c r="AG4078" i="2"/>
  <c r="AH4078" i="2"/>
  <c r="AI4078" i="2"/>
  <c r="AJ4078" i="2"/>
  <c r="AF4079" i="2"/>
  <c r="AK4079" i="2" s="1"/>
  <c r="AL4079" i="2" s="1"/>
  <c r="AG4079" i="2"/>
  <c r="AH4079" i="2"/>
  <c r="AI4079" i="2"/>
  <c r="AJ4079" i="2"/>
  <c r="AF4080" i="2"/>
  <c r="AK4080" i="2" s="1"/>
  <c r="AL4080" i="2" s="1"/>
  <c r="AG4080" i="2"/>
  <c r="AH4080" i="2"/>
  <c r="AI4080" i="2"/>
  <c r="AJ4080" i="2"/>
  <c r="AF4081" i="2"/>
  <c r="AK4081" i="2"/>
  <c r="AG4081" i="2"/>
  <c r="AL4081" i="2" s="1"/>
  <c r="AH4081" i="2"/>
  <c r="AI4081" i="2"/>
  <c r="AJ4081" i="2"/>
  <c r="AF4082" i="2"/>
  <c r="AK4082" i="2" s="1"/>
  <c r="AG4082" i="2"/>
  <c r="AH4082" i="2"/>
  <c r="AI4082" i="2"/>
  <c r="AJ4082" i="2"/>
  <c r="AF4083" i="2"/>
  <c r="AK4083" i="2" s="1"/>
  <c r="AG4083" i="2"/>
  <c r="AH4083" i="2"/>
  <c r="AI4083" i="2"/>
  <c r="AJ4083" i="2"/>
  <c r="AF4084" i="2"/>
  <c r="AK4084" i="2"/>
  <c r="AG4084" i="2"/>
  <c r="AH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L4097" i="2" s="1"/>
  <c r="AG4097" i="2"/>
  <c r="AH4097" i="2"/>
  <c r="AI4097" i="2"/>
  <c r="AJ4097" i="2"/>
  <c r="AF4098" i="2"/>
  <c r="AK4098" i="2"/>
  <c r="AG4098" i="2"/>
  <c r="AH4098" i="2"/>
  <c r="AI4098" i="2"/>
  <c r="AJ4098" i="2"/>
  <c r="AF4099" i="2"/>
  <c r="AK4099" i="2" s="1"/>
  <c r="AG4099" i="2"/>
  <c r="AH4099" i="2"/>
  <c r="AI4099" i="2"/>
  <c r="AJ4099" i="2"/>
  <c r="AF4100" i="2"/>
  <c r="AK4100" i="2" s="1"/>
  <c r="AG4100" i="2"/>
  <c r="AH4100" i="2"/>
  <c r="AI4100" i="2"/>
  <c r="AJ4100" i="2"/>
  <c r="AF4101" i="2"/>
  <c r="AK4101" i="2" s="1"/>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s="1"/>
  <c r="AL4105" i="2" s="1"/>
  <c r="AG4105" i="2"/>
  <c r="AH4105" i="2"/>
  <c r="AI4105" i="2"/>
  <c r="AJ4105" i="2"/>
  <c r="AF4106" i="2"/>
  <c r="AK4106" i="2"/>
  <c r="AL4106" i="2" s="1"/>
  <c r="AG4106" i="2"/>
  <c r="AH4106" i="2"/>
  <c r="AI4106" i="2"/>
  <c r="AJ4106" i="2"/>
  <c r="AF4107" i="2"/>
  <c r="AK4107" i="2"/>
  <c r="AG4107" i="2"/>
  <c r="AH4107" i="2"/>
  <c r="AL4107" i="2" s="1"/>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c r="AL4111" i="2"/>
  <c r="AG4111" i="2"/>
  <c r="AH4111" i="2"/>
  <c r="AI4111" i="2"/>
  <c r="AJ4111" i="2"/>
  <c r="AF4112" i="2"/>
  <c r="AK4112" i="2"/>
  <c r="AG4112" i="2"/>
  <c r="AH4112" i="2"/>
  <c r="AI4112" i="2"/>
  <c r="AJ4112" i="2"/>
  <c r="AF4113" i="2"/>
  <c r="AK4113" i="2"/>
  <c r="AG4113" i="2"/>
  <c r="AH4113" i="2"/>
  <c r="AI4113" i="2"/>
  <c r="AJ4113" i="2"/>
  <c r="AF4114" i="2"/>
  <c r="AK4114" i="2" s="1"/>
  <c r="AG4114" i="2"/>
  <c r="AL4114" i="2" s="1"/>
  <c r="AH4114" i="2"/>
  <c r="AI4114" i="2"/>
  <c r="AJ4114" i="2"/>
  <c r="AF4115" i="2"/>
  <c r="AK4115" i="2" s="1"/>
  <c r="AG4115" i="2"/>
  <c r="AH4115" i="2"/>
  <c r="AI4115" i="2"/>
  <c r="AJ4115" i="2"/>
  <c r="AF4116" i="2"/>
  <c r="AK4116" i="2"/>
  <c r="AG4116" i="2"/>
  <c r="AL4116" i="2" s="1"/>
  <c r="AH4116" i="2"/>
  <c r="AI4116" i="2"/>
  <c r="AJ4116" i="2"/>
  <c r="AF4117" i="2"/>
  <c r="AG4117" i="2"/>
  <c r="AH4117" i="2"/>
  <c r="AI4117" i="2"/>
  <c r="AJ4117" i="2"/>
  <c r="AK4117" i="2"/>
  <c r="AF4118" i="2"/>
  <c r="AK4118" i="2" s="1"/>
  <c r="AG4118" i="2"/>
  <c r="AH4118" i="2"/>
  <c r="AI4118" i="2"/>
  <c r="AJ4118" i="2"/>
  <c r="AF4119" i="2"/>
  <c r="AK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s="1"/>
  <c r="AG4124" i="2"/>
  <c r="AH4124" i="2"/>
  <c r="AI4124" i="2"/>
  <c r="AJ4124" i="2"/>
  <c r="AF4125" i="2"/>
  <c r="AK4125" i="2" s="1"/>
  <c r="AL4125" i="2" s="1"/>
  <c r="AG4125" i="2"/>
  <c r="AH4125" i="2"/>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c r="AL4129" i="2" s="1"/>
  <c r="AG4129" i="2"/>
  <c r="AH4129" i="2"/>
  <c r="AI4129" i="2"/>
  <c r="AJ4129" i="2"/>
  <c r="AF4130" i="2"/>
  <c r="AK4130" i="2"/>
  <c r="AG4130" i="2"/>
  <c r="AH4130" i="2"/>
  <c r="AI4130" i="2"/>
  <c r="AJ4130" i="2"/>
  <c r="AF4131" i="2"/>
  <c r="AK4131" i="2" s="1"/>
  <c r="AG4131" i="2"/>
  <c r="AL4131" i="2"/>
  <c r="AH4131" i="2"/>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s="1"/>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s="1"/>
  <c r="AL4142" i="2" s="1"/>
  <c r="AG4142" i="2"/>
  <c r="AH4142" i="2"/>
  <c r="AI4142" i="2"/>
  <c r="AJ4142" i="2"/>
  <c r="AF4143" i="2"/>
  <c r="AK4143" i="2"/>
  <c r="AG4143" i="2"/>
  <c r="AL4143" i="2" s="1"/>
  <c r="AH4143" i="2"/>
  <c r="AI4143" i="2"/>
  <c r="AJ4143" i="2"/>
  <c r="AF4144" i="2"/>
  <c r="AK4144" i="2"/>
  <c r="AG4144" i="2"/>
  <c r="AH4144" i="2"/>
  <c r="AI4144" i="2"/>
  <c r="AJ4144" i="2"/>
  <c r="AF4145" i="2"/>
  <c r="AK4145" i="2" s="1"/>
  <c r="AG4145" i="2"/>
  <c r="AH4145" i="2"/>
  <c r="AI4145" i="2"/>
  <c r="AJ4145" i="2"/>
  <c r="AF4146" i="2"/>
  <c r="AK4146" i="2"/>
  <c r="AL4146" i="2" s="1"/>
  <c r="AG4146" i="2"/>
  <c r="AH4146" i="2"/>
  <c r="AI4146" i="2"/>
  <c r="AJ4146" i="2"/>
  <c r="AF4147" i="2"/>
  <c r="AK4147" i="2"/>
  <c r="AG4147" i="2"/>
  <c r="AL4147" i="2"/>
  <c r="AH4147" i="2"/>
  <c r="AI4147" i="2"/>
  <c r="AJ4147" i="2"/>
  <c r="AF4148" i="2"/>
  <c r="AK4148" i="2"/>
  <c r="AG4148" i="2"/>
  <c r="AH4148" i="2"/>
  <c r="AI4148" i="2"/>
  <c r="AL4148" i="2" s="1"/>
  <c r="AJ4148" i="2"/>
  <c r="AF4149" i="2"/>
  <c r="AK4149" i="2"/>
  <c r="AG4149" i="2"/>
  <c r="AH4149" i="2"/>
  <c r="AI4149" i="2"/>
  <c r="AJ4149" i="2"/>
  <c r="AF4150" i="2"/>
  <c r="AK4150" i="2" s="1"/>
  <c r="AL4150" i="2" s="1"/>
  <c r="AG4150" i="2"/>
  <c r="AH4150" i="2"/>
  <c r="AI4150" i="2"/>
  <c r="AJ4150" i="2"/>
  <c r="AF4151" i="2"/>
  <c r="AK4151" i="2" s="1"/>
  <c r="AG4151" i="2"/>
  <c r="AH4151" i="2"/>
  <c r="AI4151" i="2"/>
  <c r="AJ4151" i="2"/>
  <c r="AF4152" i="2"/>
  <c r="AK4152" i="2"/>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c r="AG4160" i="2"/>
  <c r="AL4160" i="2" s="1"/>
  <c r="AH4160" i="2"/>
  <c r="AI4160" i="2"/>
  <c r="AJ4160" i="2"/>
  <c r="AF4161" i="2"/>
  <c r="AK4161" i="2" s="1"/>
  <c r="AG4161" i="2"/>
  <c r="AH4161" i="2"/>
  <c r="AI4161" i="2"/>
  <c r="AJ4161" i="2"/>
  <c r="AL4161" i="2" s="1"/>
  <c r="AF4162" i="2"/>
  <c r="AK4162" i="2" s="1"/>
  <c r="AG4162" i="2"/>
  <c r="AH4162" i="2"/>
  <c r="AI4162" i="2"/>
  <c r="AJ4162" i="2"/>
  <c r="AL4162" i="2" s="1"/>
  <c r="AF4163" i="2"/>
  <c r="AK4163" i="2" s="1"/>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c r="AG4181" i="2"/>
  <c r="AH4181" i="2"/>
  <c r="AI4181" i="2"/>
  <c r="AJ4181" i="2"/>
  <c r="AF4182" i="2"/>
  <c r="AK4182" i="2" s="1"/>
  <c r="AG4182" i="2"/>
  <c r="AH4182" i="2"/>
  <c r="AL4182" i="2" s="1"/>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c r="AG4186" i="2"/>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c r="AG4190" i="2"/>
  <c r="AL4190" i="2" s="1"/>
  <c r="AH4190" i="2"/>
  <c r="AI4190" i="2"/>
  <c r="AJ4190" i="2"/>
  <c r="AF4191" i="2"/>
  <c r="AK4191" i="2"/>
  <c r="AG4191" i="2"/>
  <c r="AH4191" i="2"/>
  <c r="AI4191" i="2"/>
  <c r="AJ4191" i="2"/>
  <c r="AF4192" i="2"/>
  <c r="AK4192" i="2"/>
  <c r="AG4192" i="2"/>
  <c r="AH4192" i="2"/>
  <c r="AI4192" i="2"/>
  <c r="AJ4192" i="2"/>
  <c r="AL4192" i="2"/>
  <c r="AF4193" i="2"/>
  <c r="AK4193" i="2" s="1"/>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s="1"/>
  <c r="AG4197" i="2"/>
  <c r="AH4197" i="2"/>
  <c r="AI4197" i="2"/>
  <c r="AJ4197" i="2"/>
  <c r="AF4198" i="2"/>
  <c r="AK4198" i="2" s="1"/>
  <c r="AG4198" i="2"/>
  <c r="AH4198" i="2"/>
  <c r="AI4198" i="2"/>
  <c r="AJ4198" i="2"/>
  <c r="AL4198" i="2" s="1"/>
  <c r="AF4199" i="2"/>
  <c r="AK4199" i="2" s="1"/>
  <c r="AG4199" i="2"/>
  <c r="AH4199" i="2"/>
  <c r="AI4199" i="2"/>
  <c r="AJ4199" i="2"/>
  <c r="AF4200" i="2"/>
  <c r="AK4200" i="2"/>
  <c r="AG4200" i="2"/>
  <c r="AL4200" i="2" s="1"/>
  <c r="AH4200" i="2"/>
  <c r="AI4200" i="2"/>
  <c r="AJ4200" i="2"/>
  <c r="AF4201" i="2"/>
  <c r="AK4201" i="2"/>
  <c r="AG4201" i="2"/>
  <c r="AH4201" i="2"/>
  <c r="AI4201" i="2"/>
  <c r="AL4201" i="2" s="1"/>
  <c r="AJ4201" i="2"/>
  <c r="AF4202" i="2"/>
  <c r="AK4202" i="2"/>
  <c r="AG4202" i="2"/>
  <c r="AH4202" i="2"/>
  <c r="AI4202" i="2"/>
  <c r="AJ4202" i="2"/>
  <c r="AF4203" i="2"/>
  <c r="AK4203" i="2" s="1"/>
  <c r="AL4203" i="2" s="1"/>
  <c r="AG4203" i="2"/>
  <c r="AH4203" i="2"/>
  <c r="AI4203" i="2"/>
  <c r="AJ4203" i="2"/>
  <c r="AF4204" i="2"/>
  <c r="AK4204" i="2"/>
  <c r="AG4204" i="2"/>
  <c r="AL4204" i="2" s="1"/>
  <c r="AH4204" i="2"/>
  <c r="AI4204" i="2"/>
  <c r="AJ4204" i="2"/>
  <c r="AF4205" i="2"/>
  <c r="AK4205" i="2"/>
  <c r="AG4205" i="2"/>
  <c r="AH4205" i="2"/>
  <c r="AI4205" i="2"/>
  <c r="AJ4205" i="2"/>
  <c r="AF4206" i="2"/>
  <c r="AK4206" i="2" s="1"/>
  <c r="AG4206" i="2"/>
  <c r="AH4206" i="2"/>
  <c r="AI4206" i="2"/>
  <c r="AJ4206" i="2"/>
  <c r="AF4207" i="2"/>
  <c r="AK4207" i="2" s="1"/>
  <c r="AG4207" i="2"/>
  <c r="AH4207" i="2"/>
  <c r="AI4207" i="2"/>
  <c r="AJ4207" i="2"/>
  <c r="AF4208" i="2"/>
  <c r="AK4208" i="2"/>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s="1"/>
  <c r="AG4212" i="2"/>
  <c r="AH4212" i="2"/>
  <c r="AI4212" i="2"/>
  <c r="AJ4212" i="2"/>
  <c r="AF4213" i="2"/>
  <c r="AK4213" i="2" s="1"/>
  <c r="AL4213" i="2" s="1"/>
  <c r="AG4213" i="2"/>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c r="AG4217" i="2"/>
  <c r="AH4217" i="2"/>
  <c r="AI4217" i="2"/>
  <c r="AJ4217" i="2"/>
  <c r="AF4218" i="2"/>
  <c r="AK4218" i="2"/>
  <c r="AG4218" i="2"/>
  <c r="AH4218" i="2"/>
  <c r="AI4218" i="2"/>
  <c r="AJ4218" i="2"/>
  <c r="AF4219" i="2"/>
  <c r="AK4219" i="2" s="1"/>
  <c r="AG4219" i="2"/>
  <c r="AH4219" i="2"/>
  <c r="AI4219" i="2"/>
  <c r="AJ4219" i="2"/>
  <c r="AF4220" i="2"/>
  <c r="AK4220" i="2" s="1"/>
  <c r="AG4220" i="2"/>
  <c r="AH4220" i="2"/>
  <c r="AI4220" i="2"/>
  <c r="AJ4220" i="2"/>
  <c r="AF4221" i="2"/>
  <c r="AK4221" i="2"/>
  <c r="AG4221" i="2"/>
  <c r="AH4221" i="2"/>
  <c r="AI4221" i="2"/>
  <c r="AJ4221" i="2"/>
  <c r="AF4222" i="2"/>
  <c r="AK4222" i="2"/>
  <c r="AG4222" i="2"/>
  <c r="AH4222" i="2"/>
  <c r="AI4222" i="2"/>
  <c r="AJ4222" i="2"/>
  <c r="AF4223" i="2"/>
  <c r="AK4223" i="2"/>
  <c r="AG4223" i="2"/>
  <c r="AH4223" i="2"/>
  <c r="AI4223" i="2"/>
  <c r="AJ4223" i="2"/>
  <c r="AF4224" i="2"/>
  <c r="AK4224" i="2"/>
  <c r="AG4224" i="2"/>
  <c r="AH4224" i="2"/>
  <c r="AI4224" i="2"/>
  <c r="AJ4224" i="2"/>
  <c r="AF4225" i="2"/>
  <c r="AK4225" i="2" s="1"/>
  <c r="AG4225" i="2"/>
  <c r="AH4225" i="2"/>
  <c r="AI4225" i="2"/>
  <c r="AJ4225" i="2"/>
  <c r="AF4226" i="2"/>
  <c r="AK4226" i="2" s="1"/>
  <c r="AG4226" i="2"/>
  <c r="AH4226" i="2"/>
  <c r="AI4226" i="2"/>
  <c r="AJ4226" i="2"/>
  <c r="AF4227" i="2"/>
  <c r="AK4227" i="2"/>
  <c r="AG4227" i="2"/>
  <c r="AL4227" i="2" s="1"/>
  <c r="AH4227" i="2"/>
  <c r="AI4227" i="2"/>
  <c r="AJ4227" i="2"/>
  <c r="AF4228" i="2"/>
  <c r="AK4228" i="2"/>
  <c r="AG4228" i="2"/>
  <c r="AH4228" i="2"/>
  <c r="AI4228" i="2"/>
  <c r="AJ4228" i="2"/>
  <c r="AF4229" i="2"/>
  <c r="AK4229" i="2" s="1"/>
  <c r="AG4229" i="2"/>
  <c r="AH4229" i="2"/>
  <c r="AI4229" i="2"/>
  <c r="AJ4229" i="2"/>
  <c r="AF4230" i="2"/>
  <c r="AK4230" i="2"/>
  <c r="AL4230" i="2" s="1"/>
  <c r="AG4230" i="2"/>
  <c r="AH4230" i="2"/>
  <c r="AI4230" i="2"/>
  <c r="AJ4230" i="2"/>
  <c r="AF4231" i="2"/>
  <c r="AK4231" i="2"/>
  <c r="AG4231" i="2"/>
  <c r="AH4231" i="2"/>
  <c r="AL4231" i="2" s="1"/>
  <c r="AI4231" i="2"/>
  <c r="AJ4231" i="2"/>
  <c r="AF4232" i="2"/>
  <c r="AK4232" i="2" s="1"/>
  <c r="AG4232" i="2"/>
  <c r="AH4232" i="2"/>
  <c r="AI4232" i="2"/>
  <c r="AJ4232" i="2"/>
  <c r="AF4233" i="2"/>
  <c r="AK4233" i="2" s="1"/>
  <c r="AL4233" i="2" s="1"/>
  <c r="AG4233" i="2"/>
  <c r="AH4233" i="2"/>
  <c r="AI4233" i="2"/>
  <c r="AJ4233" i="2"/>
  <c r="AF4234" i="2"/>
  <c r="AK4234" i="2" s="1"/>
  <c r="AL4234" i="2" s="1"/>
  <c r="AG4234" i="2"/>
  <c r="AH4234" i="2"/>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c r="AG4238" i="2"/>
  <c r="AH4238" i="2"/>
  <c r="AI4238" i="2"/>
  <c r="AJ4238" i="2"/>
  <c r="AF4239" i="2"/>
  <c r="AK4239" i="2"/>
  <c r="AG4239" i="2"/>
  <c r="AH4239" i="2"/>
  <c r="AI4239" i="2"/>
  <c r="AJ4239" i="2"/>
  <c r="AF4240" i="2"/>
  <c r="AK4240" i="2" s="1"/>
  <c r="AL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s="1"/>
  <c r="AG4247" i="2"/>
  <c r="AH4247" i="2"/>
  <c r="AI4247" i="2"/>
  <c r="AJ4247" i="2"/>
  <c r="AF4248" i="2"/>
  <c r="AK4248" i="2"/>
  <c r="AG4248" i="2"/>
  <c r="AH4248" i="2"/>
  <c r="AI4248" i="2"/>
  <c r="AJ4248" i="2"/>
  <c r="AF4249" i="2"/>
  <c r="AK4249" i="2"/>
  <c r="AG4249" i="2"/>
  <c r="AH4249" i="2"/>
  <c r="AI4249" i="2"/>
  <c r="AJ4249" i="2"/>
  <c r="AF4250" i="2"/>
  <c r="AK4250" i="2" s="1"/>
  <c r="AG4250" i="2"/>
  <c r="AH4250" i="2"/>
  <c r="AI4250" i="2"/>
  <c r="AJ4250" i="2"/>
  <c r="AF4251" i="2"/>
  <c r="AK4251" i="2"/>
  <c r="AG4251" i="2"/>
  <c r="AH4251" i="2"/>
  <c r="AI4251" i="2"/>
  <c r="AJ4251" i="2"/>
  <c r="AF4252" i="2"/>
  <c r="AK4252" i="2"/>
  <c r="AG4252" i="2"/>
  <c r="AL4252" i="2" s="1"/>
  <c r="AH4252" i="2"/>
  <c r="AI4252" i="2"/>
  <c r="AJ4252" i="2"/>
  <c r="AF4253" i="2"/>
  <c r="AK4253" i="2"/>
  <c r="AG4253" i="2"/>
  <c r="AH4253" i="2"/>
  <c r="AI4253" i="2"/>
  <c r="AJ4253" i="2"/>
  <c r="AF4254" i="2"/>
  <c r="AK4254" i="2"/>
  <c r="AG4254" i="2"/>
  <c r="AH4254" i="2"/>
  <c r="AI4254" i="2"/>
  <c r="AJ4254" i="2"/>
  <c r="AF4255" i="2"/>
  <c r="AK4255" i="2" s="1"/>
  <c r="AG4255" i="2"/>
  <c r="AH4255" i="2"/>
  <c r="AI4255" i="2"/>
  <c r="AJ4255" i="2"/>
  <c r="AF4256" i="2"/>
  <c r="AK4256" i="2"/>
  <c r="AL4256" i="2"/>
  <c r="AG4256" i="2"/>
  <c r="AH4256" i="2"/>
  <c r="AI4256" i="2"/>
  <c r="AJ4256" i="2"/>
  <c r="AF4257" i="2"/>
  <c r="AK4257" i="2"/>
  <c r="AG4257" i="2"/>
  <c r="AL4257" i="2" s="1"/>
  <c r="AH4257" i="2"/>
  <c r="AI4257" i="2"/>
  <c r="AJ4257" i="2"/>
  <c r="AF4258" i="2"/>
  <c r="AK4258" i="2"/>
  <c r="AG4258" i="2"/>
  <c r="AH4258" i="2"/>
  <c r="AL4258" i="2" s="1"/>
  <c r="AI4258" i="2"/>
  <c r="AJ4258" i="2"/>
  <c r="AF4259" i="2"/>
  <c r="AK4259" i="2" s="1"/>
  <c r="AG4259" i="2"/>
  <c r="AH4259" i="2"/>
  <c r="AL4259" i="2" s="1"/>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c r="AG4263" i="2"/>
  <c r="AH4263" i="2"/>
  <c r="AI4263" i="2"/>
  <c r="AJ4263" i="2"/>
  <c r="AF4264" i="2"/>
  <c r="AK4264" i="2" s="1"/>
  <c r="AG4264" i="2"/>
  <c r="AH4264" i="2"/>
  <c r="AI4264" i="2"/>
  <c r="AJ4264" i="2"/>
  <c r="AF4265" i="2"/>
  <c r="AK4265" i="2" s="1"/>
  <c r="AG4265" i="2"/>
  <c r="AH4265" i="2"/>
  <c r="AI4265" i="2"/>
  <c r="AJ4265" i="2"/>
  <c r="AF4266" i="2"/>
  <c r="AK4266" i="2" s="1"/>
  <c r="AG4266" i="2"/>
  <c r="AH4266" i="2"/>
  <c r="AI4266" i="2"/>
  <c r="AJ4266" i="2"/>
  <c r="AF4267" i="2"/>
  <c r="AK4267" i="2"/>
  <c r="AL4267" i="2" s="1"/>
  <c r="AG4267" i="2"/>
  <c r="AH4267" i="2"/>
  <c r="AI4267" i="2"/>
  <c r="AJ4267" i="2"/>
  <c r="AF4268" i="2"/>
  <c r="AK4268" i="2"/>
  <c r="AG4268" i="2"/>
  <c r="AH4268" i="2"/>
  <c r="AI4268" i="2"/>
  <c r="AJ4268" i="2"/>
  <c r="AF4269" i="2"/>
  <c r="AK4269" i="2"/>
  <c r="AG4269" i="2"/>
  <c r="AH4269" i="2"/>
  <c r="AI4269" i="2"/>
  <c r="AJ4269" i="2"/>
  <c r="AF4270" i="2"/>
  <c r="AG4270" i="2"/>
  <c r="AH4270" i="2"/>
  <c r="AI4270" i="2"/>
  <c r="AJ4270" i="2"/>
  <c r="AK4270" i="2"/>
  <c r="AF4271" i="2"/>
  <c r="AK4271" i="2" s="1"/>
  <c r="AG4271" i="2"/>
  <c r="AH4271" i="2"/>
  <c r="AI4271" i="2"/>
  <c r="AJ4271" i="2"/>
  <c r="AL4271" i="2" s="1"/>
  <c r="AF4272" i="2"/>
  <c r="AK4272" i="2"/>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s="1"/>
  <c r="AL4277" i="2" s="1"/>
  <c r="AG4277" i="2"/>
  <c r="AH4277" i="2"/>
  <c r="AI4277" i="2"/>
  <c r="AJ4277" i="2"/>
  <c r="AF4278" i="2"/>
  <c r="AK4278" i="2"/>
  <c r="AG4278" i="2"/>
  <c r="AH4278" i="2"/>
  <c r="AI4278" i="2"/>
  <c r="AJ4278" i="2"/>
  <c r="AF4279" i="2"/>
  <c r="AK4279" i="2"/>
  <c r="AG4279" i="2"/>
  <c r="AH4279" i="2"/>
  <c r="AI4279" i="2"/>
  <c r="AL4279" i="2" s="1"/>
  <c r="AJ4279" i="2"/>
  <c r="AF4280" i="2"/>
  <c r="AK4280" i="2" s="1"/>
  <c r="AG4280" i="2"/>
  <c r="AH4280" i="2"/>
  <c r="AI4280" i="2"/>
  <c r="AJ4280" i="2"/>
  <c r="AF4281" i="2"/>
  <c r="AK4281" i="2"/>
  <c r="AL4281" i="2" s="1"/>
  <c r="AG4281" i="2"/>
  <c r="AH4281" i="2"/>
  <c r="AI4281" i="2"/>
  <c r="AJ4281" i="2"/>
  <c r="AF4282" i="2"/>
  <c r="AK4282" i="2"/>
  <c r="AG4282" i="2"/>
  <c r="AH4282" i="2"/>
  <c r="AL4282" i="2" s="1"/>
  <c r="AI4282" i="2"/>
  <c r="AJ4282" i="2"/>
  <c r="AF4283" i="2"/>
  <c r="AK4283" i="2" s="1"/>
  <c r="AG4283" i="2"/>
  <c r="AH4283" i="2"/>
  <c r="AI4283" i="2"/>
  <c r="AJ4283" i="2"/>
  <c r="AF4284" i="2"/>
  <c r="AK4284" i="2" s="1"/>
  <c r="AL4284" i="2" s="1"/>
  <c r="AG4284" i="2"/>
  <c r="AH4284" i="2"/>
  <c r="AI4284" i="2"/>
  <c r="AJ4284" i="2"/>
  <c r="AF4285" i="2"/>
  <c r="AK4285" i="2" s="1"/>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L4288" i="2" s="1"/>
  <c r="AF4289" i="2"/>
  <c r="AK4289" i="2"/>
  <c r="AG4289" i="2"/>
  <c r="AH4289" i="2"/>
  <c r="AI4289" i="2"/>
  <c r="AJ4289" i="2"/>
  <c r="AF4290" i="2"/>
  <c r="AK4290" i="2"/>
  <c r="AL4290" i="2" s="1"/>
  <c r="AG4290" i="2"/>
  <c r="AH4290" i="2"/>
  <c r="AI4290" i="2"/>
  <c r="AJ4290" i="2"/>
  <c r="AF4291" i="2"/>
  <c r="AK4291" i="2"/>
  <c r="AG4291" i="2"/>
  <c r="AH4291" i="2"/>
  <c r="AI4291" i="2"/>
  <c r="AJ4291" i="2"/>
  <c r="AF4292" i="2"/>
  <c r="AK4292" i="2"/>
  <c r="AG4292" i="2"/>
  <c r="AH4292" i="2"/>
  <c r="AI4292" i="2"/>
  <c r="AJ4292" i="2"/>
  <c r="AF4293" i="2"/>
  <c r="AK4293" i="2" s="1"/>
  <c r="AG4293" i="2"/>
  <c r="AH4293" i="2"/>
  <c r="AI4293" i="2"/>
  <c r="AJ4293" i="2"/>
  <c r="AF4294" i="2"/>
  <c r="AK4294" i="2"/>
  <c r="AL4294" i="2"/>
  <c r="AG4294" i="2"/>
  <c r="AH4294" i="2"/>
  <c r="AI4294" i="2"/>
  <c r="AJ4294" i="2"/>
  <c r="AF4295" i="2"/>
  <c r="AK4295" i="2"/>
  <c r="AG4295" i="2"/>
  <c r="AH4295" i="2"/>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c r="AG4300" i="2"/>
  <c r="AH4300" i="2"/>
  <c r="AI4300" i="2"/>
  <c r="AJ4300" i="2"/>
  <c r="AF4301" i="2"/>
  <c r="AK4301" i="2" s="1"/>
  <c r="AG4301" i="2"/>
  <c r="AL4301" i="2"/>
  <c r="AH4301" i="2"/>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c r="AG4305" i="2"/>
  <c r="AH4305" i="2"/>
  <c r="AL4305" i="2" s="1"/>
  <c r="AI4305" i="2"/>
  <c r="AJ4305" i="2"/>
  <c r="AF4306" i="2"/>
  <c r="AK4306" i="2" s="1"/>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G4311" i="2"/>
  <c r="AH4311" i="2"/>
  <c r="AI4311" i="2"/>
  <c r="AJ4311" i="2"/>
  <c r="AF4312" i="2"/>
  <c r="AK4312" i="2" s="1"/>
  <c r="AG4312" i="2"/>
  <c r="AH4312" i="2"/>
  <c r="AI4312" i="2"/>
  <c r="AJ4312" i="2"/>
  <c r="AF4313" i="2"/>
  <c r="AK4313" i="2" s="1"/>
  <c r="AG4313" i="2"/>
  <c r="AH4313" i="2"/>
  <c r="AI4313" i="2"/>
  <c r="AJ4313" i="2"/>
  <c r="AF4314" i="2"/>
  <c r="AK4314" i="2"/>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c r="AG4318" i="2"/>
  <c r="AL4318" i="2" s="1"/>
  <c r="AH4318" i="2"/>
  <c r="AI4318" i="2"/>
  <c r="AJ4318" i="2"/>
  <c r="AF4319" i="2"/>
  <c r="AK4319" i="2"/>
  <c r="AG4319" i="2"/>
  <c r="AH4319" i="2"/>
  <c r="AI4319" i="2"/>
  <c r="AJ4319" i="2"/>
  <c r="AF4320" i="2"/>
  <c r="AK4320" i="2"/>
  <c r="AG4320" i="2"/>
  <c r="AH4320" i="2"/>
  <c r="AI4320" i="2"/>
  <c r="AJ4320" i="2"/>
  <c r="AF4321" i="2"/>
  <c r="AK4321" i="2" s="1"/>
  <c r="AG4321" i="2"/>
  <c r="AH4321" i="2"/>
  <c r="AI4321" i="2"/>
  <c r="AJ4321" i="2"/>
  <c r="AF4322" i="2"/>
  <c r="AK4322" i="2" s="1"/>
  <c r="AG4322" i="2"/>
  <c r="AL4322" i="2" s="1"/>
  <c r="AH4322" i="2"/>
  <c r="AI4322" i="2"/>
  <c r="AJ4322" i="2"/>
  <c r="AF4323" i="2"/>
  <c r="AK4323" i="2"/>
  <c r="AG4323" i="2"/>
  <c r="AH4323" i="2"/>
  <c r="AI4323" i="2"/>
  <c r="AJ4323" i="2"/>
  <c r="AF4324" i="2"/>
  <c r="AK4324" i="2"/>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c r="AG4328" i="2"/>
  <c r="AH4328" i="2"/>
  <c r="AI4328" i="2"/>
  <c r="AJ4328" i="2"/>
  <c r="AF4329" i="2"/>
  <c r="AK4329" i="2" s="1"/>
  <c r="AG4329" i="2"/>
  <c r="AH4329" i="2"/>
  <c r="AI4329" i="2"/>
  <c r="AJ4329" i="2"/>
  <c r="AF4330" i="2"/>
  <c r="AK4330" i="2" s="1"/>
  <c r="AG4330" i="2"/>
  <c r="AH4330" i="2"/>
  <c r="AI4330" i="2"/>
  <c r="AJ4330" i="2"/>
  <c r="AF4331" i="2"/>
  <c r="AK4331" i="2" s="1"/>
  <c r="AG4331" i="2"/>
  <c r="AH4331" i="2"/>
  <c r="AI4331" i="2"/>
  <c r="AJ4331" i="2"/>
  <c r="AF4332" i="2"/>
  <c r="AK4332" i="2"/>
  <c r="AG4332" i="2"/>
  <c r="AH4332" i="2"/>
  <c r="AI4332" i="2"/>
  <c r="AJ4332" i="2"/>
  <c r="AF4333" i="2"/>
  <c r="AK4333" i="2" s="1"/>
  <c r="AG4333" i="2"/>
  <c r="AH4333" i="2"/>
  <c r="AL4333" i="2" s="1"/>
  <c r="AI4333" i="2"/>
  <c r="AJ4333" i="2"/>
  <c r="AF4334" i="2"/>
  <c r="AK4334" i="2" s="1"/>
  <c r="AG4334" i="2"/>
  <c r="AH4334" i="2"/>
  <c r="AI4334" i="2"/>
  <c r="AJ4334" i="2"/>
  <c r="AF4335" i="2"/>
  <c r="AK4335" i="2" s="1"/>
  <c r="AL4335" i="2" s="1"/>
  <c r="AG4335" i="2"/>
  <c r="AH4335" i="2"/>
  <c r="AI4335" i="2"/>
  <c r="AJ4335" i="2"/>
  <c r="AF4336" i="2"/>
  <c r="AK4336" i="2"/>
  <c r="AG4336" i="2"/>
  <c r="AH4336" i="2"/>
  <c r="AI4336" i="2"/>
  <c r="AJ4336" i="2"/>
  <c r="AF4337" i="2"/>
  <c r="AK4337" i="2" s="1"/>
  <c r="AG4337" i="2"/>
  <c r="AH4337" i="2"/>
  <c r="AI4337" i="2"/>
  <c r="AJ4337" i="2"/>
  <c r="AF4338" i="2"/>
  <c r="AK4338" i="2" s="1"/>
  <c r="AG4338" i="2"/>
  <c r="AH4338" i="2"/>
  <c r="AI4338" i="2"/>
  <c r="AJ4338" i="2"/>
  <c r="AF4339" i="2"/>
  <c r="AK4339" i="2"/>
  <c r="AG4339" i="2"/>
  <c r="AH4339" i="2"/>
  <c r="AI4339" i="2"/>
  <c r="AJ4339" i="2"/>
  <c r="AF4340" i="2"/>
  <c r="AK4340" i="2"/>
  <c r="AG4340" i="2"/>
  <c r="AH4340" i="2"/>
  <c r="AI4340" i="2"/>
  <c r="AJ4340" i="2"/>
  <c r="AF4341" i="2"/>
  <c r="AK4341" i="2" s="1"/>
  <c r="AG4341" i="2"/>
  <c r="AH4341" i="2"/>
  <c r="AI4341" i="2"/>
  <c r="AJ4341" i="2"/>
  <c r="AF4342" i="2"/>
  <c r="AK4342" i="2" s="1"/>
  <c r="AG4342" i="2"/>
  <c r="AH4342" i="2"/>
  <c r="AI4342" i="2"/>
  <c r="AJ4342" i="2"/>
  <c r="AF4343" i="2"/>
  <c r="AK4343" i="2" s="1"/>
  <c r="AG4343" i="2"/>
  <c r="AH4343" i="2"/>
  <c r="AI4343" i="2"/>
  <c r="AJ4343" i="2"/>
  <c r="AF4344" i="2"/>
  <c r="AK4344" i="2"/>
  <c r="AG4344" i="2"/>
  <c r="AH4344" i="2"/>
  <c r="AI4344" i="2"/>
  <c r="AJ4344" i="2"/>
  <c r="AF4345" i="2"/>
  <c r="AK4345" i="2" s="1"/>
  <c r="AG4345" i="2"/>
  <c r="AH4345" i="2"/>
  <c r="AL4345" i="2" s="1"/>
  <c r="AI4345" i="2"/>
  <c r="AJ4345" i="2"/>
  <c r="AF4346" i="2"/>
  <c r="AK4346" i="2" s="1"/>
  <c r="AG4346" i="2"/>
  <c r="AH4346" i="2"/>
  <c r="AI4346" i="2"/>
  <c r="AJ4346" i="2"/>
  <c r="AF4347" i="2"/>
  <c r="AK4347" i="2" s="1"/>
  <c r="AG4347" i="2"/>
  <c r="AH4347" i="2"/>
  <c r="AI4347" i="2"/>
  <c r="AJ4347" i="2"/>
  <c r="AF4348" i="2"/>
  <c r="AK4348" i="2" s="1"/>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s="1"/>
  <c r="AL4352" i="2" s="1"/>
  <c r="AG4352" i="2"/>
  <c r="AH4352" i="2"/>
  <c r="AI4352" i="2"/>
  <c r="AJ4352" i="2"/>
  <c r="AF4353" i="2"/>
  <c r="AK4353" i="2"/>
  <c r="AG4353" i="2"/>
  <c r="AH4353" i="2"/>
  <c r="AI4353" i="2"/>
  <c r="AJ4353" i="2"/>
  <c r="AF4354" i="2"/>
  <c r="AK4354" i="2"/>
  <c r="AG4354" i="2"/>
  <c r="AH4354" i="2"/>
  <c r="AI4354" i="2"/>
  <c r="AJ4354" i="2"/>
  <c r="AF4355" i="2"/>
  <c r="AK4355" i="2" s="1"/>
  <c r="AG4355" i="2"/>
  <c r="AH4355" i="2"/>
  <c r="AI4355" i="2"/>
  <c r="AJ4355" i="2"/>
  <c r="AF4356" i="2"/>
  <c r="AK4356" i="2"/>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s="1"/>
  <c r="AG4360" i="2"/>
  <c r="AH4360" i="2"/>
  <c r="AI4360" i="2"/>
  <c r="AJ4360" i="2"/>
  <c r="AF4361" i="2"/>
  <c r="AK4361" i="2"/>
  <c r="AG4361" i="2"/>
  <c r="AH4361" i="2"/>
  <c r="AI4361" i="2"/>
  <c r="AL4361" i="2" s="1"/>
  <c r="AJ4361" i="2"/>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s="1"/>
  <c r="AG4366" i="2"/>
  <c r="AH4366" i="2"/>
  <c r="AI4366" i="2"/>
  <c r="AJ4366" i="2"/>
  <c r="AF4367" i="2"/>
  <c r="AK4367" i="2"/>
  <c r="AG4367" i="2"/>
  <c r="AH4367" i="2"/>
  <c r="AI4367" i="2"/>
  <c r="AJ4367" i="2"/>
  <c r="AF4368" i="2"/>
  <c r="AK4368" i="2" s="1"/>
  <c r="AG4368" i="2"/>
  <c r="AH4368" i="2"/>
  <c r="AI4368" i="2"/>
  <c r="AJ4368" i="2"/>
  <c r="AF4369" i="2"/>
  <c r="AK4369" i="2" s="1"/>
  <c r="AG4369" i="2"/>
  <c r="AH4369" i="2"/>
  <c r="AI4369" i="2"/>
  <c r="AJ4369" i="2"/>
  <c r="AF4370" i="2"/>
  <c r="AK4370" i="2"/>
  <c r="AG4370" i="2"/>
  <c r="AH4370" i="2"/>
  <c r="AI4370" i="2"/>
  <c r="AJ4370" i="2"/>
  <c r="AF4371" i="2"/>
  <c r="AK4371" i="2"/>
  <c r="AG4371" i="2"/>
  <c r="AH4371" i="2"/>
  <c r="AI4371" i="2"/>
  <c r="AJ4371" i="2"/>
  <c r="AF4372" i="2"/>
  <c r="AK4372" i="2"/>
  <c r="AG4372" i="2"/>
  <c r="AL4372" i="2" s="1"/>
  <c r="AH4372" i="2"/>
  <c r="AI4372" i="2"/>
  <c r="AJ4372" i="2"/>
  <c r="AF4373" i="2"/>
  <c r="AK4373" i="2" s="1"/>
  <c r="AG4373" i="2"/>
  <c r="AL4373" i="2" s="1"/>
  <c r="AH4373" i="2"/>
  <c r="AI4373" i="2"/>
  <c r="AJ4373" i="2"/>
  <c r="AF4374" i="2"/>
  <c r="AK4374" i="2"/>
  <c r="AG4374" i="2"/>
  <c r="AH4374" i="2"/>
  <c r="AI4374" i="2"/>
  <c r="AJ4374" i="2"/>
  <c r="AF4375" i="2"/>
  <c r="AK4375" i="2" s="1"/>
  <c r="AG4375" i="2"/>
  <c r="AH4375" i="2"/>
  <c r="AI4375" i="2"/>
  <c r="AJ4375" i="2"/>
  <c r="AF4376" i="2"/>
  <c r="AK4376" i="2"/>
  <c r="AG4376" i="2"/>
  <c r="AH4376" i="2"/>
  <c r="AI4376" i="2"/>
  <c r="AJ4376" i="2"/>
  <c r="AF4377" i="2"/>
  <c r="AK4377" i="2"/>
  <c r="AG4377" i="2"/>
  <c r="AH4377" i="2"/>
  <c r="AI4377" i="2"/>
  <c r="AJ4377" i="2"/>
  <c r="AF4378" i="2"/>
  <c r="AK4378" i="2" s="1"/>
  <c r="AG4378" i="2"/>
  <c r="AH4378" i="2"/>
  <c r="AI4378" i="2"/>
  <c r="AJ4378" i="2"/>
  <c r="AF4379" i="2"/>
  <c r="AK4379" i="2"/>
  <c r="AG4379" i="2"/>
  <c r="AH4379" i="2"/>
  <c r="AI4379" i="2"/>
  <c r="AJ4379" i="2"/>
  <c r="AF4380" i="2"/>
  <c r="AK4380" i="2" s="1"/>
  <c r="AG4380" i="2"/>
  <c r="AH4380" i="2"/>
  <c r="AI4380" i="2"/>
  <c r="AJ4380" i="2"/>
  <c r="AF4381" i="2"/>
  <c r="AK4381" i="2"/>
  <c r="AL4381" i="2" s="1"/>
  <c r="AG4381" i="2"/>
  <c r="AH4381" i="2"/>
  <c r="AI4381" i="2"/>
  <c r="AJ4381" i="2"/>
  <c r="AF4382" i="2"/>
  <c r="AK4382" i="2"/>
  <c r="AG4382" i="2"/>
  <c r="AH4382" i="2"/>
  <c r="AL4382" i="2" s="1"/>
  <c r="AI4382" i="2"/>
  <c r="AJ4382" i="2"/>
  <c r="AF4383" i="2"/>
  <c r="AK4383" i="2"/>
  <c r="AG4383" i="2"/>
  <c r="AH4383" i="2"/>
  <c r="AI4383" i="2"/>
  <c r="AJ4383" i="2"/>
  <c r="AF4384" i="2"/>
  <c r="AK4384" i="2"/>
  <c r="AG4384" i="2"/>
  <c r="AH4384" i="2"/>
  <c r="AI4384" i="2"/>
  <c r="AJ4384" i="2"/>
  <c r="AF4385" i="2"/>
  <c r="AK4385" i="2"/>
  <c r="AG4385" i="2"/>
  <c r="AH4385" i="2"/>
  <c r="AI4385" i="2"/>
  <c r="AJ4385" i="2"/>
  <c r="AF4386" i="2"/>
  <c r="AK4386" i="2"/>
  <c r="AG4386" i="2"/>
  <c r="AH4386" i="2"/>
  <c r="AL4386" i="2" s="1"/>
  <c r="AI4386" i="2"/>
  <c r="AJ4386" i="2"/>
  <c r="AF4387" i="2"/>
  <c r="AK4387" i="2" s="1"/>
  <c r="AG4387" i="2"/>
  <c r="AH4387" i="2"/>
  <c r="AI4387" i="2"/>
  <c r="AJ4387" i="2"/>
  <c r="AF4388" i="2"/>
  <c r="AK4388" i="2"/>
  <c r="AG4388" i="2"/>
  <c r="AH4388" i="2"/>
  <c r="AI4388" i="2"/>
  <c r="AJ4388" i="2"/>
  <c r="AF4389" i="2"/>
  <c r="AK4389" i="2" s="1"/>
  <c r="AG4389" i="2"/>
  <c r="AH4389" i="2"/>
  <c r="AL4389" i="2" s="1"/>
  <c r="AI4389" i="2"/>
  <c r="AJ4389" i="2"/>
  <c r="AF4390" i="2"/>
  <c r="AK4390" i="2"/>
  <c r="AG4390" i="2"/>
  <c r="AL4390" i="2" s="1"/>
  <c r="AH4390" i="2"/>
  <c r="AI4390" i="2"/>
  <c r="AJ4390" i="2"/>
  <c r="AF4391" i="2"/>
  <c r="AK4391" i="2"/>
  <c r="AL4391" i="2" s="1"/>
  <c r="AG4391" i="2"/>
  <c r="AH4391" i="2"/>
  <c r="AI4391" i="2"/>
  <c r="AJ4391" i="2"/>
  <c r="AF4392" i="2"/>
  <c r="AK4392" i="2"/>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c r="AG4396" i="2"/>
  <c r="AH4396" i="2"/>
  <c r="AI4396" i="2"/>
  <c r="AJ4396" i="2"/>
  <c r="AF4397" i="2"/>
  <c r="AK4397" i="2"/>
  <c r="AG4397" i="2"/>
  <c r="AL4397" i="2" s="1"/>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s="1"/>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c r="AG4405" i="2"/>
  <c r="AL4405" i="2" s="1"/>
  <c r="AH4405" i="2"/>
  <c r="AI4405" i="2"/>
  <c r="AJ4405" i="2"/>
  <c r="AF4406" i="2"/>
  <c r="AG4406" i="2"/>
  <c r="AH4406" i="2"/>
  <c r="AI4406" i="2"/>
  <c r="AJ4406" i="2"/>
  <c r="AK4406" i="2"/>
  <c r="AF4407" i="2"/>
  <c r="AK4407" i="2" s="1"/>
  <c r="AG4407" i="2"/>
  <c r="AH4407" i="2"/>
  <c r="AI4407" i="2"/>
  <c r="AJ4407" i="2"/>
  <c r="AF4408" i="2"/>
  <c r="AK4408" i="2"/>
  <c r="AG4408" i="2"/>
  <c r="AH4408" i="2"/>
  <c r="AI4408" i="2"/>
  <c r="AJ4408" i="2"/>
  <c r="AF4409" i="2"/>
  <c r="AK4409" i="2"/>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s="1"/>
  <c r="AG4414" i="2"/>
  <c r="AH4414" i="2"/>
  <c r="AI4414" i="2"/>
  <c r="AJ4414" i="2"/>
  <c r="AF4415" i="2"/>
  <c r="AK4415" i="2"/>
  <c r="AG4415" i="2"/>
  <c r="AL4415" i="2" s="1"/>
  <c r="AH4415" i="2"/>
  <c r="AI4415" i="2"/>
  <c r="AJ4415" i="2"/>
  <c r="AF4416" i="2"/>
  <c r="AK4416" i="2"/>
  <c r="AG4416" i="2"/>
  <c r="AH4416" i="2"/>
  <c r="AI4416" i="2"/>
  <c r="AJ4416" i="2"/>
  <c r="AF4417" i="2"/>
  <c r="AK4417" i="2" s="1"/>
  <c r="AG4417" i="2"/>
  <c r="AH4417" i="2"/>
  <c r="AI4417" i="2"/>
  <c r="AJ4417" i="2"/>
  <c r="AF4418" i="2"/>
  <c r="AK4418" i="2"/>
  <c r="AG4418" i="2"/>
  <c r="AH4418" i="2"/>
  <c r="AI4418" i="2"/>
  <c r="AJ4418" i="2"/>
  <c r="AF4419" i="2"/>
  <c r="AK4419" i="2" s="1"/>
  <c r="AG4419" i="2"/>
  <c r="AH4419" i="2"/>
  <c r="AI4419" i="2"/>
  <c r="AJ4419" i="2"/>
  <c r="AF4420" i="2"/>
  <c r="AK4420" i="2"/>
  <c r="AG4420" i="2"/>
  <c r="AL4420" i="2" s="1"/>
  <c r="AH4420" i="2"/>
  <c r="AI4420" i="2"/>
  <c r="AJ4420" i="2"/>
  <c r="AF4421" i="2"/>
  <c r="AK4421" i="2"/>
  <c r="AG4421" i="2"/>
  <c r="AL4421" i="2" s="1"/>
  <c r="AH4421" i="2"/>
  <c r="AI4421" i="2"/>
  <c r="AJ4421" i="2"/>
  <c r="AF4422" i="2"/>
  <c r="AK4422" i="2" s="1"/>
  <c r="AG4422" i="2"/>
  <c r="AL4422" i="2" s="1"/>
  <c r="AH4422" i="2"/>
  <c r="AI4422" i="2"/>
  <c r="AJ4422" i="2"/>
  <c r="AF4423" i="2"/>
  <c r="AK4423" i="2"/>
  <c r="AG4423" i="2"/>
  <c r="AL4423" i="2"/>
  <c r="AH4423" i="2"/>
  <c r="AI4423" i="2"/>
  <c r="AJ4423" i="2"/>
  <c r="AF4424" i="2"/>
  <c r="AK4424" i="2"/>
  <c r="AG4424" i="2"/>
  <c r="AL4424" i="2" s="1"/>
  <c r="AH4424" i="2"/>
  <c r="AI4424" i="2"/>
  <c r="AJ4424" i="2"/>
  <c r="AF4425" i="2"/>
  <c r="AK4425" i="2" s="1"/>
  <c r="AG4425" i="2"/>
  <c r="AH4425" i="2"/>
  <c r="AI4425" i="2"/>
  <c r="AJ4425" i="2"/>
  <c r="AL4425" i="2" s="1"/>
  <c r="AF4426" i="2"/>
  <c r="AK4426" i="2"/>
  <c r="AG4426" i="2"/>
  <c r="AH4426" i="2"/>
  <c r="AI4426" i="2"/>
  <c r="AJ4426" i="2"/>
  <c r="AF4427" i="2"/>
  <c r="AK4427" i="2"/>
  <c r="AL4427" i="2" s="1"/>
  <c r="AG4427" i="2"/>
  <c r="AH4427" i="2"/>
  <c r="AI4427" i="2"/>
  <c r="AJ4427" i="2"/>
  <c r="AF4428" i="2"/>
  <c r="AK4428" i="2" s="1"/>
  <c r="AG4428" i="2"/>
  <c r="AH4428" i="2"/>
  <c r="AI4428" i="2"/>
  <c r="AL4428" i="2" s="1"/>
  <c r="AJ4428" i="2"/>
  <c r="AF4429" i="2"/>
  <c r="AK4429" i="2"/>
  <c r="AG4429" i="2"/>
  <c r="AH4429" i="2"/>
  <c r="AI4429" i="2"/>
  <c r="AJ4429" i="2"/>
  <c r="AF4430" i="2"/>
  <c r="AK4430" i="2" s="1"/>
  <c r="AG4430" i="2"/>
  <c r="AH4430" i="2"/>
  <c r="AI4430" i="2"/>
  <c r="AJ4430" i="2"/>
  <c r="AF4431" i="2"/>
  <c r="AK4431" i="2" s="1"/>
  <c r="AL4431" i="2" s="1"/>
  <c r="AG4431" i="2"/>
  <c r="AH4431" i="2"/>
  <c r="AI4431" i="2"/>
  <c r="AJ4431" i="2"/>
  <c r="AF4432" i="2"/>
  <c r="AK4432" i="2"/>
  <c r="AL4432" i="2"/>
  <c r="AG4432" i="2"/>
  <c r="AH4432" i="2"/>
  <c r="AI4432" i="2"/>
  <c r="AJ4432" i="2"/>
  <c r="AF4433" i="2"/>
  <c r="AK4433" i="2" s="1"/>
  <c r="AG4433" i="2"/>
  <c r="AH4433" i="2"/>
  <c r="AI4433" i="2"/>
  <c r="AJ4433" i="2"/>
  <c r="AF4434" i="2"/>
  <c r="AK4434" i="2"/>
  <c r="AL4434" i="2" s="1"/>
  <c r="AG4434" i="2"/>
  <c r="AH4434" i="2"/>
  <c r="AI4434" i="2"/>
  <c r="AJ4434" i="2"/>
  <c r="AF4435" i="2"/>
  <c r="AK4435" i="2" s="1"/>
  <c r="AG4435" i="2"/>
  <c r="AH4435" i="2"/>
  <c r="AI4435" i="2"/>
  <c r="AJ4435" i="2"/>
  <c r="AF4436" i="2"/>
  <c r="AK4436" i="2" s="1"/>
  <c r="AG4436" i="2"/>
  <c r="AH4436" i="2"/>
  <c r="AI4436" i="2"/>
  <c r="AJ4436" i="2"/>
  <c r="AF4437" i="2"/>
  <c r="AK4437" i="2"/>
  <c r="AG4437" i="2"/>
  <c r="AH4437" i="2"/>
  <c r="AL4437" i="2" s="1"/>
  <c r="AI4437" i="2"/>
  <c r="AJ4437" i="2"/>
  <c r="AF4438" i="2"/>
  <c r="AK4438" i="2" s="1"/>
  <c r="AG4438" i="2"/>
  <c r="AH4438" i="2"/>
  <c r="AL4438" i="2" s="1"/>
  <c r="AI4438" i="2"/>
  <c r="AJ4438" i="2"/>
  <c r="AF4439" i="2"/>
  <c r="AK4439" i="2" s="1"/>
  <c r="AG4439" i="2"/>
  <c r="AH4439" i="2"/>
  <c r="AI4439" i="2"/>
  <c r="AJ4439" i="2"/>
  <c r="AF4440" i="2"/>
  <c r="AK4440" i="2" s="1"/>
  <c r="AG4440" i="2"/>
  <c r="AH4440" i="2"/>
  <c r="AI4440" i="2"/>
  <c r="AJ4440" i="2"/>
  <c r="AF4441" i="2"/>
  <c r="AK4441" i="2"/>
  <c r="AG4441" i="2"/>
  <c r="AH4441" i="2"/>
  <c r="AI4441" i="2"/>
  <c r="AJ4441" i="2"/>
  <c r="AF4442" i="2"/>
  <c r="AK4442" i="2"/>
  <c r="AG4442" i="2"/>
  <c r="AH4442" i="2"/>
  <c r="AI4442" i="2"/>
  <c r="AJ4442" i="2"/>
  <c r="AF4443" i="2"/>
  <c r="AK4443" i="2" s="1"/>
  <c r="AL4443" i="2" s="1"/>
  <c r="AG4443" i="2"/>
  <c r="AH4443" i="2"/>
  <c r="AI4443" i="2"/>
  <c r="AJ4443" i="2"/>
  <c r="AF4444" i="2"/>
  <c r="AK4444" i="2" s="1"/>
  <c r="AG4444" i="2"/>
  <c r="AH4444" i="2"/>
  <c r="AI4444" i="2"/>
  <c r="AJ4444" i="2"/>
  <c r="AL4444" i="2" s="1"/>
  <c r="AF4445" i="2"/>
  <c r="AK4445" i="2"/>
  <c r="AG4445" i="2"/>
  <c r="AH4445" i="2"/>
  <c r="AI4445" i="2"/>
  <c r="AJ4445" i="2"/>
  <c r="AF4446" i="2"/>
  <c r="AK4446" i="2"/>
  <c r="AG4446" i="2"/>
  <c r="AH4446" i="2"/>
  <c r="AI4446" i="2"/>
  <c r="AJ4446" i="2"/>
  <c r="AF4447" i="2"/>
  <c r="AK4447" i="2" s="1"/>
  <c r="AL4447" i="2" s="1"/>
  <c r="AG4447" i="2"/>
  <c r="AH4447" i="2"/>
  <c r="AI4447" i="2"/>
  <c r="AJ4447" i="2"/>
  <c r="AF4448" i="2"/>
  <c r="AK4448" i="2"/>
  <c r="AG4448" i="2"/>
  <c r="AH4448" i="2"/>
  <c r="AI4448" i="2"/>
  <c r="AL4448" i="2" s="1"/>
  <c r="AJ4448" i="2"/>
  <c r="AF4449" i="2"/>
  <c r="AK4449" i="2" s="1"/>
  <c r="AG4449" i="2"/>
  <c r="AH4449" i="2"/>
  <c r="AI4449" i="2"/>
  <c r="AJ4449" i="2"/>
  <c r="AF4450" i="2"/>
  <c r="AK4450" i="2"/>
  <c r="AG4450" i="2"/>
  <c r="AH4450" i="2"/>
  <c r="AI4450" i="2"/>
  <c r="AJ4450" i="2"/>
  <c r="AF4451" i="2"/>
  <c r="AK4451" i="2" s="1"/>
  <c r="AG4451" i="2"/>
  <c r="AH4451" i="2"/>
  <c r="AI4451" i="2"/>
  <c r="AJ4451" i="2"/>
  <c r="AF4452" i="2"/>
  <c r="AK4452" i="2"/>
  <c r="AL4452" i="2" s="1"/>
  <c r="AG4452" i="2"/>
  <c r="AH4452" i="2"/>
  <c r="AI4452" i="2"/>
  <c r="AJ4452" i="2"/>
  <c r="AF4453" i="2"/>
  <c r="AK4453" i="2"/>
  <c r="AG4453" i="2"/>
  <c r="AH4453" i="2"/>
  <c r="AL4453" i="2" s="1"/>
  <c r="AI4453" i="2"/>
  <c r="AJ4453" i="2"/>
  <c r="AF4454" i="2"/>
  <c r="AK4454" i="2" s="1"/>
  <c r="AG4454" i="2"/>
  <c r="AH4454" i="2"/>
  <c r="AI4454" i="2"/>
  <c r="AJ4454" i="2"/>
  <c r="AF4455" i="2"/>
  <c r="AK4455" i="2" s="1"/>
  <c r="AL4455" i="2" s="1"/>
  <c r="AG4455" i="2"/>
  <c r="AH4455" i="2"/>
  <c r="AI4455" i="2"/>
  <c r="AJ4455" i="2"/>
  <c r="AF4456" i="2"/>
  <c r="AK4456" i="2" s="1"/>
  <c r="AG4456" i="2"/>
  <c r="AH4456" i="2"/>
  <c r="AL4456" i="2" s="1"/>
  <c r="AI4456" i="2"/>
  <c r="AJ4456" i="2"/>
  <c r="AF4457" i="2"/>
  <c r="AK4457" i="2"/>
  <c r="AG4457" i="2"/>
  <c r="AH4457" i="2"/>
  <c r="AI4457" i="2"/>
  <c r="AJ4457" i="2"/>
  <c r="AF4458" i="2"/>
  <c r="AK4458" i="2"/>
  <c r="AG4458" i="2"/>
  <c r="AH4458" i="2"/>
  <c r="AI4458" i="2"/>
  <c r="AJ4458" i="2"/>
  <c r="AF4459" i="2"/>
  <c r="AK4459" i="2" s="1"/>
  <c r="AG4459" i="2"/>
  <c r="AL4459" i="2" s="1"/>
  <c r="AH4459" i="2"/>
  <c r="AI4459" i="2"/>
  <c r="AJ4459" i="2"/>
  <c r="AF4460" i="2"/>
  <c r="AK4460" i="2"/>
  <c r="AG4460" i="2"/>
  <c r="AH4460" i="2"/>
  <c r="AL4460" i="2"/>
  <c r="AI4460" i="2"/>
  <c r="AJ4460" i="2"/>
  <c r="AF4461" i="2"/>
  <c r="AK4461" i="2" s="1"/>
  <c r="AG4461" i="2"/>
  <c r="AH4461" i="2"/>
  <c r="AI4461" i="2"/>
  <c r="AJ4461" i="2"/>
  <c r="AF4462" i="2"/>
  <c r="AK4462" i="2"/>
  <c r="AG4462" i="2"/>
  <c r="AH4462" i="2"/>
  <c r="AI4462" i="2"/>
  <c r="AJ4462" i="2"/>
  <c r="AF4463" i="2"/>
  <c r="AK4463" i="2"/>
  <c r="AG4463" i="2"/>
  <c r="AL4463" i="2" s="1"/>
  <c r="AH4463" i="2"/>
  <c r="AI4463" i="2"/>
  <c r="AJ4463" i="2"/>
  <c r="AF4464" i="2"/>
  <c r="AK4464" i="2"/>
  <c r="AG4464" i="2"/>
  <c r="AL4464" i="2" s="1"/>
  <c r="AH4464" i="2"/>
  <c r="AI4464" i="2"/>
  <c r="AJ4464" i="2"/>
  <c r="AF4465" i="2"/>
  <c r="AK4465" i="2" s="1"/>
  <c r="AG4465" i="2"/>
  <c r="AH4465" i="2"/>
  <c r="AI4465" i="2"/>
  <c r="AJ4465" i="2"/>
  <c r="AF4466" i="2"/>
  <c r="AK4466" i="2" s="1"/>
  <c r="AG4466" i="2"/>
  <c r="AL4466" i="2" s="1"/>
  <c r="AH4466" i="2"/>
  <c r="AI4466" i="2"/>
  <c r="AJ4466" i="2"/>
  <c r="AF4467" i="2"/>
  <c r="AK4467" i="2"/>
  <c r="AG4467" i="2"/>
  <c r="AH4467" i="2"/>
  <c r="AI4467" i="2"/>
  <c r="AJ4467" i="2"/>
  <c r="AF4468" i="2"/>
  <c r="AK4468" i="2" s="1"/>
  <c r="AG4468" i="2"/>
  <c r="AH4468" i="2"/>
  <c r="AI4468" i="2"/>
  <c r="AJ4468" i="2"/>
  <c r="AF4469" i="2"/>
  <c r="AK4469" i="2"/>
  <c r="AL4469" i="2" s="1"/>
  <c r="AG4469" i="2"/>
  <c r="AH4469" i="2"/>
  <c r="AI4469" i="2"/>
  <c r="AJ4469" i="2"/>
  <c r="AF4470" i="2"/>
  <c r="AK4470" i="2" s="1"/>
  <c r="AG4470" i="2"/>
  <c r="AH4470" i="2"/>
  <c r="AI4470" i="2"/>
  <c r="AJ4470" i="2"/>
  <c r="AF4471" i="2"/>
  <c r="AK4471" i="2" s="1"/>
  <c r="AG4471" i="2"/>
  <c r="AL4471" i="2"/>
  <c r="AH4471" i="2"/>
  <c r="AI4471" i="2"/>
  <c r="AJ4471" i="2"/>
  <c r="AF4472" i="2"/>
  <c r="AK4472" i="2"/>
  <c r="AG4472" i="2"/>
  <c r="AH4472" i="2"/>
  <c r="AL4472" i="2"/>
  <c r="AI4472" i="2"/>
  <c r="AJ4472" i="2"/>
  <c r="AF4473" i="2"/>
  <c r="AK4473" i="2"/>
  <c r="AG4473" i="2"/>
  <c r="AH4473" i="2"/>
  <c r="AI4473" i="2"/>
  <c r="AJ4473" i="2"/>
  <c r="AF4474" i="2"/>
  <c r="AK4474" i="2" s="1"/>
  <c r="AG4474" i="2"/>
  <c r="AH4474" i="2"/>
  <c r="AI4474" i="2"/>
  <c r="AJ4474" i="2"/>
  <c r="AF4475" i="2"/>
  <c r="AK4475" i="2"/>
  <c r="AG4475" i="2"/>
  <c r="AH4475" i="2"/>
  <c r="AI4475" i="2"/>
  <c r="AJ4475" i="2"/>
  <c r="AF4476" i="2"/>
  <c r="AK4476" i="2" s="1"/>
  <c r="AG4476" i="2"/>
  <c r="AL4476" i="2" s="1"/>
  <c r="AH4476" i="2"/>
  <c r="AI4476" i="2"/>
  <c r="AJ4476" i="2"/>
  <c r="AF4477" i="2"/>
  <c r="AK4477" i="2" s="1"/>
  <c r="AG4477" i="2"/>
  <c r="AH4477" i="2"/>
  <c r="AI4477" i="2"/>
  <c r="AJ4477" i="2"/>
  <c r="AF4478" i="2"/>
  <c r="AK4478" i="2"/>
  <c r="AG4478" i="2"/>
  <c r="AH4478" i="2"/>
  <c r="AI4478" i="2"/>
  <c r="AL4478" i="2" s="1"/>
  <c r="AJ4478" i="2"/>
  <c r="AF4479" i="2"/>
  <c r="AK4479" i="2"/>
  <c r="AG4479" i="2"/>
  <c r="AH4479" i="2"/>
  <c r="AI4479" i="2"/>
  <c r="AJ4479" i="2"/>
  <c r="AF4480" i="2"/>
  <c r="AK4480" i="2" s="1"/>
  <c r="AG4480" i="2"/>
  <c r="AH4480" i="2"/>
  <c r="AI4480" i="2"/>
  <c r="AJ4480" i="2"/>
  <c r="AF4481" i="2"/>
  <c r="AK4481" i="2"/>
  <c r="AG4481" i="2"/>
  <c r="AH4481" i="2"/>
  <c r="AI4481" i="2"/>
  <c r="AJ4481" i="2"/>
  <c r="AF4482" i="2"/>
  <c r="AK4482" i="2"/>
  <c r="AG4482" i="2"/>
  <c r="AH4482" i="2"/>
  <c r="AI4482" i="2"/>
  <c r="AJ4482" i="2"/>
  <c r="AF4483" i="2"/>
  <c r="AK4483" i="2" s="1"/>
  <c r="AG4483" i="2"/>
  <c r="AH4483" i="2"/>
  <c r="AI4483" i="2"/>
  <c r="AL4483" i="2" s="1"/>
  <c r="AJ4483" i="2"/>
  <c r="AF4484" i="2"/>
  <c r="AK4484" i="2"/>
  <c r="AG4484" i="2"/>
  <c r="AH4484" i="2"/>
  <c r="AL4484" i="2" s="1"/>
  <c r="AI4484" i="2"/>
  <c r="AJ4484" i="2"/>
  <c r="AF4485" i="2"/>
  <c r="AK4485" i="2"/>
  <c r="AG4485" i="2"/>
  <c r="AH4485" i="2"/>
  <c r="AI4485" i="2"/>
  <c r="AJ4485" i="2"/>
  <c r="AF4486" i="2"/>
  <c r="AK4486" i="2"/>
  <c r="AG4486" i="2"/>
  <c r="AH4486" i="2"/>
  <c r="AI4486" i="2"/>
  <c r="AJ4486" i="2"/>
  <c r="AF4487" i="2"/>
  <c r="AK4487" i="2" s="1"/>
  <c r="AL4487" i="2" s="1"/>
  <c r="AG4487" i="2"/>
  <c r="AH4487" i="2"/>
  <c r="AI4487" i="2"/>
  <c r="AJ4487" i="2"/>
  <c r="AF4488" i="2"/>
  <c r="AK4488" i="2" s="1"/>
  <c r="AG4488" i="2"/>
  <c r="AL4488" i="2" s="1"/>
  <c r="AH4488" i="2"/>
  <c r="AI4488" i="2"/>
  <c r="AJ4488" i="2"/>
  <c r="AF4489" i="2"/>
  <c r="AK4489" i="2"/>
  <c r="AG4489" i="2"/>
  <c r="AH4489" i="2"/>
  <c r="AI4489" i="2"/>
  <c r="AJ4489" i="2"/>
  <c r="AF4490" i="2"/>
  <c r="AK4490" i="2" s="1"/>
  <c r="AG4490" i="2"/>
  <c r="AH4490" i="2"/>
  <c r="AI4490" i="2"/>
  <c r="AJ4490" i="2"/>
  <c r="AF4491" i="2"/>
  <c r="AK4491" i="2"/>
  <c r="AG4491" i="2"/>
  <c r="AH4491" i="2"/>
  <c r="AI4491" i="2"/>
  <c r="AJ4491" i="2"/>
  <c r="AF4492" i="2"/>
  <c r="AK4492" i="2" s="1"/>
  <c r="AG4492" i="2"/>
  <c r="AL4492" i="2" s="1"/>
  <c r="AH4492" i="2"/>
  <c r="AI4492" i="2"/>
  <c r="AJ4492" i="2"/>
  <c r="AF4493" i="2"/>
  <c r="AK4493" i="2"/>
  <c r="AG4493" i="2"/>
  <c r="AH4493" i="2"/>
  <c r="AI4493" i="2"/>
  <c r="AJ4493" i="2"/>
  <c r="AF4494" i="2"/>
  <c r="AK4494" i="2" s="1"/>
  <c r="AG4494" i="2"/>
  <c r="AH4494" i="2"/>
  <c r="AI4494" i="2"/>
  <c r="AJ4494" i="2"/>
  <c r="AF4495" i="2"/>
  <c r="AK4495" i="2"/>
  <c r="AG4495" i="2"/>
  <c r="AH4495" i="2"/>
  <c r="AI4495" i="2"/>
  <c r="AJ4495" i="2"/>
  <c r="AF4496" i="2"/>
  <c r="AK4496" i="2" s="1"/>
  <c r="AG4496" i="2"/>
  <c r="AH4496" i="2"/>
  <c r="AI4496" i="2"/>
  <c r="AJ4496" i="2"/>
  <c r="AF4497" i="2"/>
  <c r="AK4497" i="2" s="1"/>
  <c r="AG4497" i="2"/>
  <c r="AH4497" i="2"/>
  <c r="AI4497" i="2"/>
  <c r="AJ4497" i="2"/>
  <c r="AF4498" i="2"/>
  <c r="AK4498" i="2"/>
  <c r="AL4498" i="2" s="1"/>
  <c r="AG4498" i="2"/>
  <c r="AH4498" i="2"/>
  <c r="AI4498" i="2"/>
  <c r="AJ4498" i="2"/>
  <c r="AF4499" i="2"/>
  <c r="AK4499" i="2" s="1"/>
  <c r="AL4499" i="2" s="1"/>
  <c r="AG4499" i="2"/>
  <c r="AH4499" i="2"/>
  <c r="AI4499" i="2"/>
  <c r="AJ4499" i="2"/>
  <c r="AF4500" i="2"/>
  <c r="AK4500" i="2"/>
  <c r="AG4500" i="2"/>
  <c r="AH4500" i="2"/>
  <c r="AI4500" i="2"/>
  <c r="AJ4500" i="2"/>
  <c r="AF4501" i="2"/>
  <c r="AK4501" i="2" s="1"/>
  <c r="AG4501" i="2"/>
  <c r="AH4501" i="2"/>
  <c r="AI4501" i="2"/>
  <c r="AJ4501" i="2"/>
  <c r="AF4502" i="2"/>
  <c r="AK4502" i="2" s="1"/>
  <c r="AL4502" i="2" s="1"/>
  <c r="AG4502" i="2"/>
  <c r="AH4502" i="2"/>
  <c r="AI4502" i="2"/>
  <c r="AJ4502" i="2"/>
  <c r="AF4503" i="2"/>
  <c r="AK4503" i="2"/>
  <c r="AG4503" i="2"/>
  <c r="AH4503" i="2"/>
  <c r="AI4503" i="2"/>
  <c r="AJ4503" i="2"/>
  <c r="AF4504" i="2"/>
  <c r="AK4504" i="2" s="1"/>
  <c r="AG4504" i="2"/>
  <c r="AH4504" i="2"/>
  <c r="AI4504" i="2"/>
  <c r="AJ4504" i="2"/>
  <c r="AF4505" i="2"/>
  <c r="AK4505" i="2"/>
  <c r="AG4505" i="2"/>
  <c r="AH4505" i="2"/>
  <c r="AL4505" i="2" s="1"/>
  <c r="AI4505" i="2"/>
  <c r="AJ4505" i="2"/>
  <c r="AF4506" i="2"/>
  <c r="AK4506" i="2" s="1"/>
  <c r="AG4506" i="2"/>
  <c r="AH4506" i="2"/>
  <c r="AI4506" i="2"/>
  <c r="AJ4506" i="2"/>
  <c r="AF4507" i="2"/>
  <c r="AK4507" i="2" s="1"/>
  <c r="AG4507" i="2"/>
  <c r="AH4507" i="2"/>
  <c r="AI4507" i="2"/>
  <c r="AJ4507" i="2"/>
  <c r="AF4508" i="2"/>
  <c r="AK4508" i="2"/>
  <c r="AG4508" i="2"/>
  <c r="AH4508" i="2"/>
  <c r="AI4508" i="2"/>
  <c r="AJ4508" i="2"/>
  <c r="AF4509" i="2"/>
  <c r="AK4509" i="2"/>
  <c r="AG4509" i="2"/>
  <c r="AH4509" i="2"/>
  <c r="AI4509" i="2"/>
  <c r="AJ4509" i="2"/>
  <c r="AF4510" i="2"/>
  <c r="AK4510" i="2"/>
  <c r="AG4510" i="2"/>
  <c r="AL4510" i="2"/>
  <c r="AH4510" i="2"/>
  <c r="AI4510" i="2"/>
  <c r="AJ4510" i="2"/>
  <c r="AF4511" i="2"/>
  <c r="AK4511" i="2"/>
  <c r="AG4511" i="2"/>
  <c r="AH4511" i="2"/>
  <c r="AI4511" i="2"/>
  <c r="AL4511" i="2" s="1"/>
  <c r="AJ4511" i="2"/>
  <c r="AF4512" i="2"/>
  <c r="AK4512" i="2" s="1"/>
  <c r="AG4512" i="2"/>
  <c r="AH4512" i="2"/>
  <c r="AI4512" i="2"/>
  <c r="AJ4512" i="2"/>
  <c r="AF4513" i="2"/>
  <c r="AK4513" i="2" s="1"/>
  <c r="AL4513" i="2" s="1"/>
  <c r="AG4513" i="2"/>
  <c r="AH4513" i="2"/>
  <c r="AI4513" i="2"/>
  <c r="AJ4513" i="2"/>
  <c r="AF4514" i="2"/>
  <c r="AK4514" i="2"/>
  <c r="AG4514" i="2"/>
  <c r="AH4514" i="2"/>
  <c r="AI4514" i="2"/>
  <c r="AJ4514" i="2"/>
  <c r="AF4515" i="2"/>
  <c r="AK4515" i="2"/>
  <c r="AG4515" i="2"/>
  <c r="AH4515" i="2"/>
  <c r="AI4515" i="2"/>
  <c r="AJ4515" i="2"/>
  <c r="AF4516" i="2"/>
  <c r="AK4516" i="2"/>
  <c r="AG4516" i="2"/>
  <c r="AH4516" i="2"/>
  <c r="AI4516" i="2"/>
  <c r="AJ4516" i="2"/>
  <c r="AF4517" i="2"/>
  <c r="AK4517" i="2" s="1"/>
  <c r="AL4517" i="2" s="1"/>
  <c r="AG4517" i="2"/>
  <c r="AH4517" i="2"/>
  <c r="AI4517" i="2"/>
  <c r="AJ4517" i="2"/>
  <c r="AF4518" i="2"/>
  <c r="AK4518" i="2"/>
  <c r="AG4518" i="2"/>
  <c r="AH4518" i="2"/>
  <c r="AI4518" i="2"/>
  <c r="AJ4518" i="2"/>
  <c r="AF4519" i="2"/>
  <c r="AK4519" i="2" s="1"/>
  <c r="AL4519" i="2" s="1"/>
  <c r="AG4519" i="2"/>
  <c r="AH4519" i="2"/>
  <c r="AI4519" i="2"/>
  <c r="AJ4519" i="2"/>
  <c r="AF4520" i="2"/>
  <c r="AK4520" i="2" s="1"/>
  <c r="AL4520" i="2" s="1"/>
  <c r="AG4520" i="2"/>
  <c r="AH4520" i="2"/>
  <c r="AI4520" i="2"/>
  <c r="AJ4520" i="2"/>
  <c r="AF4521" i="2"/>
  <c r="AK4521" i="2"/>
  <c r="AG4521" i="2"/>
  <c r="AH4521" i="2"/>
  <c r="AI4521" i="2"/>
  <c r="AJ4521" i="2"/>
  <c r="AF4522" i="2"/>
  <c r="AK4522" i="2" s="1"/>
  <c r="AG4522" i="2"/>
  <c r="AH4522" i="2"/>
  <c r="AI4522" i="2"/>
  <c r="AJ4522" i="2"/>
  <c r="AF4523" i="2"/>
  <c r="AK4523" i="2" s="1"/>
  <c r="AG4523" i="2"/>
  <c r="AH4523" i="2"/>
  <c r="AI4523" i="2"/>
  <c r="AJ4523" i="2"/>
  <c r="AF4524" i="2"/>
  <c r="AK4524" i="2" s="1"/>
  <c r="AG4524" i="2"/>
  <c r="AH4524" i="2"/>
  <c r="AI4524" i="2"/>
  <c r="AJ4524" i="2"/>
  <c r="AF4525" i="2"/>
  <c r="AK4525" i="2"/>
  <c r="AG4525" i="2"/>
  <c r="AH4525" i="2"/>
  <c r="AI4525" i="2"/>
  <c r="AJ4525" i="2"/>
  <c r="AF4526" i="2"/>
  <c r="AK4526" i="2"/>
  <c r="AG4526" i="2"/>
  <c r="AH4526" i="2"/>
  <c r="AI4526" i="2"/>
  <c r="AJ4526" i="2"/>
  <c r="AF4527" i="2"/>
  <c r="AK4527" i="2" s="1"/>
  <c r="AG4527" i="2"/>
  <c r="AH4527" i="2"/>
  <c r="AI4527" i="2"/>
  <c r="AJ4527" i="2"/>
  <c r="AL4527" i="2" s="1"/>
  <c r="AF4528" i="2"/>
  <c r="AK4528" i="2"/>
  <c r="AG4528" i="2"/>
  <c r="AH4528" i="2"/>
  <c r="AI4528" i="2"/>
  <c r="AJ4528" i="2"/>
  <c r="AF4529" i="2"/>
  <c r="AK4529" i="2"/>
  <c r="AG4529" i="2"/>
  <c r="AH4529" i="2"/>
  <c r="AI4529" i="2"/>
  <c r="AJ4529" i="2"/>
  <c r="AF4530" i="2"/>
  <c r="AK4530" i="2" s="1"/>
  <c r="AG4530" i="2"/>
  <c r="AH4530" i="2"/>
  <c r="AI4530" i="2"/>
  <c r="AJ4530" i="2"/>
  <c r="AF4531" i="2"/>
  <c r="AK4531" i="2"/>
  <c r="AG4531" i="2"/>
  <c r="AH4531" i="2"/>
  <c r="AI4531" i="2"/>
  <c r="AL4531" i="2" s="1"/>
  <c r="AJ4531" i="2"/>
  <c r="AF4532" i="2"/>
  <c r="AK4532" i="2"/>
  <c r="AG4532" i="2"/>
  <c r="AH4532" i="2"/>
  <c r="AI4532" i="2"/>
  <c r="AL4532" i="2" s="1"/>
  <c r="AJ4532" i="2"/>
  <c r="AF4533" i="2"/>
  <c r="AK4533" i="2" s="1"/>
  <c r="AG4533" i="2"/>
  <c r="AH4533" i="2"/>
  <c r="AI4533" i="2"/>
  <c r="AJ4533" i="2"/>
  <c r="AF4534" i="2"/>
  <c r="AK4534" i="2" s="1"/>
  <c r="AG4534" i="2"/>
  <c r="AL4534" i="2" s="1"/>
  <c r="AH4534" i="2"/>
  <c r="AI4534" i="2"/>
  <c r="AJ4534" i="2"/>
  <c r="AF4535" i="2"/>
  <c r="AK4535" i="2" s="1"/>
  <c r="AG4535" i="2"/>
  <c r="AH4535" i="2"/>
  <c r="AI4535" i="2"/>
  <c r="AJ4535" i="2"/>
  <c r="AF4536" i="2"/>
  <c r="AK4536" i="2"/>
  <c r="AG4536" i="2"/>
  <c r="AH4536" i="2"/>
  <c r="AI4536" i="2"/>
  <c r="AJ4536" i="2"/>
  <c r="AF4537" i="2"/>
  <c r="AK4537" i="2" s="1"/>
  <c r="AG4537" i="2"/>
  <c r="AH4537" i="2"/>
  <c r="AI4537" i="2"/>
  <c r="AJ4537" i="2"/>
  <c r="AF4538" i="2"/>
  <c r="AK4538" i="2"/>
  <c r="AG4538" i="2"/>
  <c r="AH4538" i="2"/>
  <c r="AI4538" i="2"/>
  <c r="AJ4538" i="2"/>
  <c r="AF4539" i="2"/>
  <c r="AK4539" i="2" s="1"/>
  <c r="AG4539" i="2"/>
  <c r="AH4539" i="2"/>
  <c r="AI4539" i="2"/>
  <c r="AL4539" i="2" s="1"/>
  <c r="AJ4539" i="2"/>
  <c r="AF4540" i="2"/>
  <c r="AK4540" i="2"/>
  <c r="AG4540" i="2"/>
  <c r="AH4540" i="2"/>
  <c r="AL4540" i="2" s="1"/>
  <c r="AI4540" i="2"/>
  <c r="AJ4540" i="2"/>
  <c r="AF4541" i="2"/>
  <c r="AK4541" i="2" s="1"/>
  <c r="AL4541" i="2" s="1"/>
  <c r="AG4541" i="2"/>
  <c r="AH4541" i="2"/>
  <c r="AI4541" i="2"/>
  <c r="AJ4541" i="2"/>
  <c r="AF4542" i="2"/>
  <c r="AK4542" i="2"/>
  <c r="AL4542" i="2" s="1"/>
  <c r="AG4542" i="2"/>
  <c r="AH4542" i="2"/>
  <c r="AI4542" i="2"/>
  <c r="AJ4542" i="2"/>
  <c r="AF4543" i="2"/>
  <c r="AK4543" i="2" s="1"/>
  <c r="AG4543" i="2"/>
  <c r="AH4543" i="2"/>
  <c r="AI4543" i="2"/>
  <c r="AJ4543" i="2"/>
  <c r="AL4543" i="2" s="1"/>
  <c r="AF4544" i="2"/>
  <c r="AK4544" i="2"/>
  <c r="AG4544" i="2"/>
  <c r="AH4544" i="2"/>
  <c r="AI4544" i="2"/>
  <c r="AJ4544" i="2"/>
  <c r="AF4545" i="2"/>
  <c r="AK4545" i="2" s="1"/>
  <c r="AG4545" i="2"/>
  <c r="AH4545" i="2"/>
  <c r="AI4545" i="2"/>
  <c r="AJ4545" i="2"/>
  <c r="AF4546" i="2"/>
  <c r="AK4546" i="2" s="1"/>
  <c r="AL4546" i="2"/>
  <c r="AG4546" i="2"/>
  <c r="AH4546" i="2"/>
  <c r="AI4546" i="2"/>
  <c r="AJ4546" i="2"/>
  <c r="AF4547" i="2"/>
  <c r="AK4547" i="2" s="1"/>
  <c r="AG4547" i="2"/>
  <c r="AH4547" i="2"/>
  <c r="AI4547" i="2"/>
  <c r="AJ4547" i="2"/>
  <c r="AF4548" i="2"/>
  <c r="AK4548" i="2"/>
  <c r="AG4548" i="2"/>
  <c r="AH4548" i="2"/>
  <c r="AI4548" i="2"/>
  <c r="AJ4548" i="2"/>
  <c r="AF4549" i="2"/>
  <c r="AK4549" i="2"/>
  <c r="AG4549" i="2"/>
  <c r="AH4549" i="2"/>
  <c r="AI4549" i="2"/>
  <c r="AJ4549" i="2"/>
  <c r="AF4550" i="2"/>
  <c r="AK4550" i="2" s="1"/>
  <c r="AG4550" i="2"/>
  <c r="AH4550" i="2"/>
  <c r="AI4550" i="2"/>
  <c r="AJ4550" i="2"/>
  <c r="AL4550" i="2" s="1"/>
  <c r="AF4551" i="2"/>
  <c r="AK4551" i="2" s="1"/>
  <c r="AG4551" i="2"/>
  <c r="AH4551" i="2"/>
  <c r="AI4551" i="2"/>
  <c r="AJ4551" i="2"/>
  <c r="AF4552" i="2"/>
  <c r="AK4552" i="2"/>
  <c r="AG4552" i="2"/>
  <c r="AH4552" i="2"/>
  <c r="AI4552" i="2"/>
  <c r="AJ4552" i="2"/>
  <c r="AF4553" i="2"/>
  <c r="AG4553" i="2"/>
  <c r="AH4553" i="2"/>
  <c r="AI4553" i="2"/>
  <c r="AJ4553" i="2"/>
  <c r="AL4553" i="2" s="1"/>
  <c r="AK4553" i="2"/>
  <c r="AF4554" i="2"/>
  <c r="AK4554" i="2" s="1"/>
  <c r="AG4554" i="2"/>
  <c r="AH4554" i="2"/>
  <c r="AI4554" i="2"/>
  <c r="AJ4554" i="2"/>
  <c r="AF4555" i="2"/>
  <c r="AK4555" i="2" s="1"/>
  <c r="AG4555" i="2"/>
  <c r="AL4555" i="2" s="1"/>
  <c r="AH4555" i="2"/>
  <c r="AI4555" i="2"/>
  <c r="AJ4555" i="2"/>
  <c r="AF4556" i="2"/>
  <c r="AK4556" i="2"/>
  <c r="AG4556" i="2"/>
  <c r="AH4556" i="2"/>
  <c r="AI4556" i="2"/>
  <c r="AL4556" i="2" s="1"/>
  <c r="AJ4556" i="2"/>
  <c r="AF4557" i="2"/>
  <c r="AK4557" i="2"/>
  <c r="AG4557" i="2"/>
  <c r="AH4557" i="2"/>
  <c r="AL4557" i="2" s="1"/>
  <c r="AI4557" i="2"/>
  <c r="AJ4557" i="2"/>
  <c r="AF4558" i="2"/>
  <c r="AK4558" i="2"/>
  <c r="AG4558" i="2"/>
  <c r="AH4558" i="2"/>
  <c r="AI4558" i="2"/>
  <c r="AJ4558" i="2"/>
  <c r="AF4559" i="2"/>
  <c r="AK4559" i="2"/>
  <c r="AG4559" i="2"/>
  <c r="AH4559" i="2"/>
  <c r="AI4559" i="2"/>
  <c r="AJ4559" i="2"/>
  <c r="AF4560" i="2"/>
  <c r="AK4560" i="2" s="1"/>
  <c r="AL4560" i="2" s="1"/>
  <c r="AG4560" i="2"/>
  <c r="AH4560" i="2"/>
  <c r="AI4560" i="2"/>
  <c r="AJ4560" i="2"/>
  <c r="AF4561" i="2"/>
  <c r="AK4561" i="2"/>
  <c r="AG4561" i="2"/>
  <c r="AL4561" i="2"/>
  <c r="AH4561" i="2"/>
  <c r="AI4561" i="2"/>
  <c r="AJ4561" i="2"/>
  <c r="AF4562" i="2"/>
  <c r="AK4562" i="2"/>
  <c r="AG4562" i="2"/>
  <c r="AH4562" i="2"/>
  <c r="AI4562" i="2"/>
  <c r="AJ4562" i="2"/>
  <c r="AF4563" i="2"/>
  <c r="AK4563" i="2" s="1"/>
  <c r="AL4563" i="2" s="1"/>
  <c r="AG4563" i="2"/>
  <c r="AH4563" i="2"/>
  <c r="AI4563" i="2"/>
  <c r="AJ4563" i="2"/>
  <c r="AF4564" i="2"/>
  <c r="AK4564" i="2"/>
  <c r="AG4564" i="2"/>
  <c r="AH4564" i="2"/>
  <c r="AI4564" i="2"/>
  <c r="AJ4564" i="2"/>
  <c r="AF4565" i="2"/>
  <c r="AK4565" i="2" s="1"/>
  <c r="AG4565" i="2"/>
  <c r="AH4565" i="2"/>
  <c r="AI4565" i="2"/>
  <c r="AJ4565" i="2"/>
  <c r="AF4566" i="2"/>
  <c r="AK4566" i="2" s="1"/>
  <c r="AL4566" i="2" s="1"/>
  <c r="AG4566" i="2"/>
  <c r="AH4566" i="2"/>
  <c r="AI4566" i="2"/>
  <c r="AJ4566" i="2"/>
  <c r="AF4567" i="2"/>
  <c r="AK4567" i="2"/>
  <c r="AG4567" i="2"/>
  <c r="AH4567" i="2"/>
  <c r="AI4567" i="2"/>
  <c r="AJ4567" i="2"/>
  <c r="AF4568" i="2"/>
  <c r="AK4568" i="2" s="1"/>
  <c r="AG4568" i="2"/>
  <c r="AL4568" i="2" s="1"/>
  <c r="AH4568" i="2"/>
  <c r="AI4568" i="2"/>
  <c r="AJ4568" i="2"/>
  <c r="AF4569" i="2"/>
  <c r="AK4569" i="2"/>
  <c r="AG4569" i="2"/>
  <c r="AH4569" i="2"/>
  <c r="AL4569" i="2" s="1"/>
  <c r="AI4569" i="2"/>
  <c r="AJ4569" i="2"/>
  <c r="AF4570" i="2"/>
  <c r="AK4570" i="2"/>
  <c r="AG4570" i="2"/>
  <c r="AL4570" i="2" s="1"/>
  <c r="AH4570" i="2"/>
  <c r="AI4570" i="2"/>
  <c r="AJ4570" i="2"/>
  <c r="AF4571" i="2"/>
  <c r="AK4571" i="2" s="1"/>
  <c r="AG4571" i="2"/>
  <c r="AH4571" i="2"/>
  <c r="AI4571" i="2"/>
  <c r="AJ4571" i="2"/>
  <c r="AF4572" i="2"/>
  <c r="AK4572" i="2" s="1"/>
  <c r="AG4572" i="2"/>
  <c r="AH4572" i="2"/>
  <c r="AI4572" i="2"/>
  <c r="AJ4572" i="2"/>
  <c r="AF4573" i="2"/>
  <c r="AK4573" i="2"/>
  <c r="AG4573" i="2"/>
  <c r="AH4573" i="2"/>
  <c r="AI4573" i="2"/>
  <c r="AJ4573" i="2"/>
  <c r="AF4574" i="2"/>
  <c r="AK4574" i="2"/>
  <c r="AG4574" i="2"/>
  <c r="AH4574" i="2"/>
  <c r="AI4574" i="2"/>
  <c r="AJ4574" i="2"/>
  <c r="AF4575" i="2"/>
  <c r="AK4575" i="2" s="1"/>
  <c r="AG4575" i="2"/>
  <c r="AH4575" i="2"/>
  <c r="AI4575" i="2"/>
  <c r="AJ4575" i="2"/>
  <c r="AL4575" i="2" s="1"/>
  <c r="AF4576" i="2"/>
  <c r="AK4576" i="2" s="1"/>
  <c r="AG4576" i="2"/>
  <c r="AH4576" i="2"/>
  <c r="AI4576" i="2"/>
  <c r="AJ4576" i="2"/>
  <c r="AF4577" i="2"/>
  <c r="AK4577" i="2"/>
  <c r="AG4577" i="2"/>
  <c r="AL4577" i="2" s="1"/>
  <c r="AH4577" i="2"/>
  <c r="AI4577" i="2"/>
  <c r="AJ4577" i="2"/>
  <c r="AF4578" i="2"/>
  <c r="AK4578" i="2"/>
  <c r="AG4578" i="2"/>
  <c r="AH4578" i="2"/>
  <c r="AI4578" i="2"/>
  <c r="AL4578" i="2" s="1"/>
  <c r="AJ4578" i="2"/>
  <c r="AF4579" i="2"/>
  <c r="AK4579" i="2"/>
  <c r="AG4579" i="2"/>
  <c r="AH4579" i="2"/>
  <c r="AI4579" i="2"/>
  <c r="AJ4579" i="2"/>
  <c r="AL4579" i="2" s="1"/>
  <c r="AF4580" i="2"/>
  <c r="AK4580" i="2"/>
  <c r="AG4580" i="2"/>
  <c r="AH4580" i="2"/>
  <c r="AI4580" i="2"/>
  <c r="AJ4580" i="2"/>
  <c r="AF4581" i="2"/>
  <c r="AK4581" i="2"/>
  <c r="AL4581" i="2" s="1"/>
  <c r="AG4581" i="2"/>
  <c r="AH4581" i="2"/>
  <c r="AI4581" i="2"/>
  <c r="AJ4581" i="2"/>
  <c r="AF4582" i="2"/>
  <c r="AK4582" i="2" s="1"/>
  <c r="AG4582" i="2"/>
  <c r="AH4582" i="2"/>
  <c r="AI4582" i="2"/>
  <c r="AJ4582" i="2"/>
  <c r="AF4583" i="2"/>
  <c r="AK4583" i="2"/>
  <c r="AG4583" i="2"/>
  <c r="AH4583" i="2"/>
  <c r="AI4583" i="2"/>
  <c r="AJ4583" i="2"/>
  <c r="AF4584" i="2"/>
  <c r="AK4584" i="2"/>
  <c r="AG4584" i="2"/>
  <c r="AH4584" i="2"/>
  <c r="AI4584" i="2"/>
  <c r="AJ4584" i="2"/>
  <c r="AF4585" i="2"/>
  <c r="AK4585" i="2" s="1"/>
  <c r="AL4585" i="2" s="1"/>
  <c r="AG4585" i="2"/>
  <c r="AH4585" i="2"/>
  <c r="AI4585" i="2"/>
  <c r="AJ4585" i="2"/>
  <c r="AF4586" i="2"/>
  <c r="AK4586" i="2"/>
  <c r="AG4586" i="2"/>
  <c r="AH4586" i="2"/>
  <c r="AI4586" i="2"/>
  <c r="AJ4586" i="2"/>
  <c r="AF4587" i="2"/>
  <c r="AK4587" i="2" s="1"/>
  <c r="AG4587" i="2"/>
  <c r="AH4587" i="2"/>
  <c r="AI4587" i="2"/>
  <c r="AJ4587" i="2"/>
  <c r="AF4588" i="2"/>
  <c r="AK4588" i="2"/>
  <c r="AG4588" i="2"/>
  <c r="AH4588" i="2"/>
  <c r="AI4588" i="2"/>
  <c r="AJ4588" i="2"/>
  <c r="AF4589" i="2"/>
  <c r="AK4589" i="2"/>
  <c r="AG4589" i="2"/>
  <c r="AH4589" i="2"/>
  <c r="AI4589" i="2"/>
  <c r="AJ4589" i="2"/>
  <c r="AF4590" i="2"/>
  <c r="AK4590" i="2" s="1"/>
  <c r="AG4590" i="2"/>
  <c r="AL4590" i="2" s="1"/>
  <c r="AH4590" i="2"/>
  <c r="AI4590" i="2"/>
  <c r="AJ4590" i="2"/>
  <c r="AF4591" i="2"/>
  <c r="AK4591" i="2" s="1"/>
  <c r="AL4591" i="2" s="1"/>
  <c r="AG4591" i="2"/>
  <c r="AH4591" i="2"/>
  <c r="AI4591" i="2"/>
  <c r="AJ4591" i="2"/>
  <c r="AF4592" i="2"/>
  <c r="AK4592" i="2" s="1"/>
  <c r="AG4592" i="2"/>
  <c r="AH4592" i="2"/>
  <c r="AL4592" i="2" s="1"/>
  <c r="AI4592" i="2"/>
  <c r="AJ4592" i="2"/>
  <c r="AF4593" i="2"/>
  <c r="AK4593" i="2"/>
  <c r="AG4593" i="2"/>
  <c r="AH4593" i="2"/>
  <c r="AL4593" i="2" s="1"/>
  <c r="AI4593" i="2"/>
  <c r="AJ4593" i="2"/>
  <c r="AF4594" i="2"/>
  <c r="AK4594" i="2" s="1"/>
  <c r="AG4594" i="2"/>
  <c r="AH4594" i="2"/>
  <c r="AI4594" i="2"/>
  <c r="AJ4594" i="2"/>
  <c r="AF4595" i="2"/>
  <c r="AK4595" i="2" s="1"/>
  <c r="AG4595" i="2"/>
  <c r="AH4595" i="2"/>
  <c r="AI4595" i="2"/>
  <c r="AJ4595" i="2"/>
  <c r="AF4596" i="2"/>
  <c r="AK4596" i="2"/>
  <c r="AG4596" i="2"/>
  <c r="AL4596" i="2"/>
  <c r="AH4596" i="2"/>
  <c r="AI4596" i="2"/>
  <c r="AJ4596" i="2"/>
  <c r="AF4597" i="2"/>
  <c r="AK4597" i="2"/>
  <c r="AG4597" i="2"/>
  <c r="AH4597" i="2"/>
  <c r="AI4597" i="2"/>
  <c r="AJ4597" i="2"/>
  <c r="AF4598" i="2"/>
  <c r="AK4598" i="2"/>
  <c r="AG4598" i="2"/>
  <c r="AH4598" i="2"/>
  <c r="AI4598" i="2"/>
  <c r="AJ4598" i="2"/>
  <c r="AF4599" i="2"/>
  <c r="AK4599" i="2"/>
  <c r="AG4599" i="2"/>
  <c r="AH4599" i="2"/>
  <c r="AI4599" i="2"/>
  <c r="AJ4599" i="2"/>
  <c r="AF4600" i="2"/>
  <c r="AK4600" i="2"/>
  <c r="AG4600" i="2"/>
  <c r="AH4600" i="2"/>
  <c r="AI4600" i="2"/>
  <c r="AJ4600" i="2"/>
  <c r="AF4601" i="2"/>
  <c r="AK4601" i="2" s="1"/>
  <c r="AG4601" i="2"/>
  <c r="AH4601" i="2"/>
  <c r="AI4601" i="2"/>
  <c r="AJ4601" i="2"/>
  <c r="AF4602" i="2"/>
  <c r="AK4602" i="2"/>
  <c r="AG4602" i="2"/>
  <c r="AH4602" i="2"/>
  <c r="AI4602" i="2"/>
  <c r="AJ4602" i="2"/>
  <c r="AF4603" i="2"/>
  <c r="AK4603" i="2" s="1"/>
  <c r="AG4603" i="2"/>
  <c r="AL4603" i="2" s="1"/>
  <c r="AH4603" i="2"/>
  <c r="AI4603" i="2"/>
  <c r="AJ4603" i="2"/>
  <c r="AF4604" i="2"/>
  <c r="AK4604" i="2"/>
  <c r="AG4604" i="2"/>
  <c r="AH4604" i="2"/>
  <c r="AI4604" i="2"/>
  <c r="AJ4604" i="2"/>
  <c r="AF4605" i="2"/>
  <c r="AK4605" i="2" s="1"/>
  <c r="AG4605" i="2"/>
  <c r="AH4605" i="2"/>
  <c r="AI4605" i="2"/>
  <c r="AJ4605" i="2"/>
  <c r="AF4606" i="2"/>
  <c r="AK4606" i="2" s="1"/>
  <c r="AG4606" i="2"/>
  <c r="AH4606" i="2"/>
  <c r="AI4606" i="2"/>
  <c r="AJ4606" i="2"/>
  <c r="AF4607" i="2"/>
  <c r="AK4607" i="2"/>
  <c r="AG4607" i="2"/>
  <c r="AL4607" i="2"/>
  <c r="AH4607" i="2"/>
  <c r="AI4607" i="2"/>
  <c r="AJ4607" i="2"/>
  <c r="AF4608" i="2"/>
  <c r="AK4608" i="2"/>
  <c r="AG4608" i="2"/>
  <c r="AH4608" i="2"/>
  <c r="AL4608" i="2"/>
  <c r="AI4608" i="2"/>
  <c r="AJ4608" i="2"/>
  <c r="AF4609" i="2"/>
  <c r="AK4609" i="2" s="1"/>
  <c r="AG4609" i="2"/>
  <c r="AH4609" i="2"/>
  <c r="AI4609" i="2"/>
  <c r="AJ4609" i="2"/>
  <c r="AF4610" i="2"/>
  <c r="AK4610" i="2"/>
  <c r="AG4610" i="2"/>
  <c r="AL4610" i="2" s="1"/>
  <c r="AH4610" i="2"/>
  <c r="AI4610" i="2"/>
  <c r="AJ4610" i="2"/>
  <c r="AF4611" i="2"/>
  <c r="AK4611" i="2" s="1"/>
  <c r="AG4611" i="2"/>
  <c r="AH4611" i="2"/>
  <c r="AI4611" i="2"/>
  <c r="AJ4611" i="2"/>
  <c r="AL4611" i="2" s="1"/>
  <c r="AF4612" i="2"/>
  <c r="AK4612" i="2" s="1"/>
  <c r="AG4612" i="2"/>
  <c r="AL4612" i="2" s="1"/>
  <c r="AH4612" i="2"/>
  <c r="AI4612" i="2"/>
  <c r="AJ4612" i="2"/>
  <c r="AF4613" i="2"/>
  <c r="AK4613" i="2" s="1"/>
  <c r="AG4613" i="2"/>
  <c r="AH4613" i="2"/>
  <c r="AI4613" i="2"/>
  <c r="AJ4613" i="2"/>
  <c r="AF4614" i="2"/>
  <c r="AK4614" i="2"/>
  <c r="AG4614" i="2"/>
  <c r="AH4614" i="2"/>
  <c r="AI4614" i="2"/>
  <c r="AL4614" i="2" s="1"/>
  <c r="AJ4614" i="2"/>
  <c r="AF4615" i="2"/>
  <c r="AK4615" i="2"/>
  <c r="AG4615" i="2"/>
  <c r="AH4615" i="2"/>
  <c r="AI4615" i="2"/>
  <c r="AJ4615" i="2"/>
  <c r="AF4616" i="2"/>
  <c r="AK4616" i="2" s="1"/>
  <c r="AG4616" i="2"/>
  <c r="AH4616" i="2"/>
  <c r="AI4616" i="2"/>
  <c r="AJ4616" i="2"/>
  <c r="AF4617" i="2"/>
  <c r="AK4617" i="2"/>
  <c r="AG4617" i="2"/>
  <c r="AH4617" i="2"/>
  <c r="AI4617" i="2"/>
  <c r="AJ4617" i="2"/>
  <c r="AF4618" i="2"/>
  <c r="AK4618" i="2"/>
  <c r="AG4618" i="2"/>
  <c r="AH4618" i="2"/>
  <c r="AI4618" i="2"/>
  <c r="AJ4618" i="2"/>
  <c r="AF4619" i="2"/>
  <c r="AK4619" i="2"/>
  <c r="AG4619" i="2"/>
  <c r="AH4619" i="2"/>
  <c r="AI4619" i="2"/>
  <c r="AJ4619" i="2"/>
  <c r="AF4620" i="2"/>
  <c r="AK4620" i="2"/>
  <c r="AG4620" i="2"/>
  <c r="AH4620" i="2"/>
  <c r="AL4620" i="2" s="1"/>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c r="AG4624" i="2"/>
  <c r="AH4624" i="2"/>
  <c r="AI4624" i="2"/>
  <c r="AJ4624" i="2"/>
  <c r="AF4625" i="2"/>
  <c r="AK4625" i="2" s="1"/>
  <c r="AG4625" i="2"/>
  <c r="AL4625" i="2" s="1"/>
  <c r="AH4625" i="2"/>
  <c r="AI4625" i="2"/>
  <c r="AJ4625" i="2"/>
  <c r="AF4626" i="2"/>
  <c r="AK4626" i="2"/>
  <c r="AG4626" i="2"/>
  <c r="AH4626" i="2"/>
  <c r="AL4626" i="2" s="1"/>
  <c r="AI4626" i="2"/>
  <c r="AJ4626" i="2"/>
  <c r="AF4627" i="2"/>
  <c r="AK4627" i="2"/>
  <c r="AG4627" i="2"/>
  <c r="AH4627" i="2"/>
  <c r="AI4627" i="2"/>
  <c r="AJ4627" i="2"/>
  <c r="AF4628" i="2"/>
  <c r="AK4628" i="2" s="1"/>
  <c r="AG4628" i="2"/>
  <c r="AH4628" i="2"/>
  <c r="AI4628" i="2"/>
  <c r="AJ4628" i="2"/>
  <c r="AF4629" i="2"/>
  <c r="AK4629" i="2"/>
  <c r="AG4629" i="2"/>
  <c r="AH4629" i="2"/>
  <c r="AI4629" i="2"/>
  <c r="AJ4629" i="2"/>
  <c r="AF4630" i="2"/>
  <c r="AK4630" i="2"/>
  <c r="AG4630" i="2"/>
  <c r="AL4630" i="2"/>
  <c r="AH4630" i="2"/>
  <c r="AI4630" i="2"/>
  <c r="AJ4630" i="2"/>
  <c r="AF4631" i="2"/>
  <c r="AK4631" i="2"/>
  <c r="AG4631" i="2"/>
  <c r="AH4631" i="2"/>
  <c r="AI4631" i="2"/>
  <c r="AJ4631" i="2"/>
  <c r="AF4632" i="2"/>
  <c r="AK4632" i="2" s="1"/>
  <c r="AG4632" i="2"/>
  <c r="AH4632" i="2"/>
  <c r="AI4632" i="2"/>
  <c r="AJ4632" i="2"/>
  <c r="AF4633" i="2"/>
  <c r="AK4633" i="2"/>
  <c r="AG4633" i="2"/>
  <c r="AH4633" i="2"/>
  <c r="AI4633" i="2"/>
  <c r="AJ4633" i="2"/>
  <c r="AF4634" i="2"/>
  <c r="AK4634" i="2"/>
  <c r="AG4634" i="2"/>
  <c r="AH4634" i="2"/>
  <c r="AI4634" i="2"/>
  <c r="AJ4634" i="2"/>
  <c r="AL4634" i="2" s="1"/>
  <c r="AF4635" i="2"/>
  <c r="AK4635" i="2" s="1"/>
  <c r="AG4635" i="2"/>
  <c r="AH4635" i="2"/>
  <c r="AI4635" i="2"/>
  <c r="AJ4635" i="2"/>
  <c r="AF4636" i="2"/>
  <c r="AK4636" i="2"/>
  <c r="AG4636" i="2"/>
  <c r="AH4636" i="2"/>
  <c r="AI4636" i="2"/>
  <c r="AJ4636" i="2"/>
  <c r="AF4637" i="2"/>
  <c r="AK4637" i="2"/>
  <c r="AG4637" i="2"/>
  <c r="AH4637" i="2"/>
  <c r="AL4637" i="2" s="1"/>
  <c r="AI4637" i="2"/>
  <c r="AJ4637" i="2"/>
  <c r="AF4638" i="2"/>
  <c r="AK4638" i="2"/>
  <c r="AG4638" i="2"/>
  <c r="AH4638" i="2"/>
  <c r="AI4638" i="2"/>
  <c r="AJ4638" i="2"/>
  <c r="AL4638" i="2" s="1"/>
  <c r="AF4639" i="2"/>
  <c r="AK4639" i="2"/>
  <c r="AL4639" i="2" s="1"/>
  <c r="AG4639" i="2"/>
  <c r="AH4639" i="2"/>
  <c r="AI4639" i="2"/>
  <c r="AJ4639" i="2"/>
  <c r="AF4640" i="2"/>
  <c r="AK4640" i="2" s="1"/>
  <c r="AL4640" i="2" s="1"/>
  <c r="AG4640" i="2"/>
  <c r="AH4640" i="2"/>
  <c r="AI4640" i="2"/>
  <c r="AJ4640" i="2"/>
  <c r="AF4641" i="2"/>
  <c r="AK4641" i="2" s="1"/>
  <c r="AG4641" i="2"/>
  <c r="AH4641" i="2"/>
  <c r="AI4641" i="2"/>
  <c r="AJ4641" i="2"/>
  <c r="AF4642" i="2"/>
  <c r="AK4642" i="2"/>
  <c r="AG4642" i="2"/>
  <c r="AH4642" i="2"/>
  <c r="AL4642" i="2"/>
  <c r="AI4642" i="2"/>
  <c r="AJ4642" i="2"/>
  <c r="AF4643" i="2"/>
  <c r="AK4643" i="2" s="1"/>
  <c r="AG4643" i="2"/>
  <c r="AH4643" i="2"/>
  <c r="AI4643" i="2"/>
  <c r="AJ4643" i="2"/>
  <c r="AF4644" i="2"/>
  <c r="AK4644" i="2"/>
  <c r="AG4644" i="2"/>
  <c r="AH4644" i="2"/>
  <c r="AI4644" i="2"/>
  <c r="AJ4644" i="2"/>
  <c r="AF4645" i="2"/>
  <c r="AK4645" i="2"/>
  <c r="AG4645" i="2"/>
  <c r="AH4645" i="2"/>
  <c r="AI4645" i="2"/>
  <c r="AJ4645" i="2"/>
  <c r="AF4646" i="2"/>
  <c r="AK4646" i="2"/>
  <c r="AL4646" i="2" s="1"/>
  <c r="AG4646" i="2"/>
  <c r="AH4646" i="2"/>
  <c r="AI4646" i="2"/>
  <c r="AJ4646" i="2"/>
  <c r="AF4647" i="2"/>
  <c r="AK4647" i="2"/>
  <c r="AG4647" i="2"/>
  <c r="AH4647" i="2"/>
  <c r="AI4647" i="2"/>
  <c r="AJ4647" i="2"/>
  <c r="AF4648" i="2"/>
  <c r="AK4648" i="2"/>
  <c r="AG4648" i="2"/>
  <c r="AH4648" i="2"/>
  <c r="AI4648" i="2"/>
  <c r="AL4648" i="2" s="1"/>
  <c r="AJ4648" i="2"/>
  <c r="AF4649" i="2"/>
  <c r="AK4649" i="2"/>
  <c r="AG4649" i="2"/>
  <c r="AH4649" i="2"/>
  <c r="AI4649" i="2"/>
  <c r="AJ4649" i="2"/>
  <c r="AF4650" i="2"/>
  <c r="AK4650" i="2"/>
  <c r="AG4650" i="2"/>
  <c r="AH4650" i="2"/>
  <c r="AI4650" i="2"/>
  <c r="AJ4650" i="2"/>
  <c r="AF4651" i="2"/>
  <c r="AK4651" i="2"/>
  <c r="AG4651" i="2"/>
  <c r="AH4651" i="2"/>
  <c r="AI4651" i="2"/>
  <c r="AJ4651" i="2"/>
  <c r="AF4652" i="2"/>
  <c r="AK4652" i="2"/>
  <c r="AG4652" i="2"/>
  <c r="AH4652" i="2"/>
  <c r="AI4652" i="2"/>
  <c r="AJ4652" i="2"/>
  <c r="AF4653" i="2"/>
  <c r="AK4653" i="2" s="1"/>
  <c r="AL4653" i="2" s="1"/>
  <c r="AG4653" i="2"/>
  <c r="AH4653" i="2"/>
  <c r="AI4653" i="2"/>
  <c r="AJ4653" i="2"/>
  <c r="AF4654" i="2"/>
  <c r="AK4654" i="2"/>
  <c r="AG4654" i="2"/>
  <c r="AH4654" i="2"/>
  <c r="AI4654" i="2"/>
  <c r="AJ4654" i="2"/>
  <c r="AF4655" i="2"/>
  <c r="AK4655" i="2" s="1"/>
  <c r="AG4655" i="2"/>
  <c r="AH4655" i="2"/>
  <c r="AI4655" i="2"/>
  <c r="AJ4655" i="2"/>
  <c r="AF4656" i="2"/>
  <c r="AK4656" i="2"/>
  <c r="AG4656" i="2"/>
  <c r="AH4656" i="2"/>
  <c r="AI4656" i="2"/>
  <c r="AJ4656" i="2"/>
  <c r="AF4657" i="2"/>
  <c r="AK4657" i="2"/>
  <c r="AG4657" i="2"/>
  <c r="AH4657" i="2"/>
  <c r="AI4657" i="2"/>
  <c r="AJ4657" i="2"/>
  <c r="AF4658" i="2"/>
  <c r="AK4658" i="2"/>
  <c r="AG4658" i="2"/>
  <c r="AH4658" i="2"/>
  <c r="AI4658" i="2"/>
  <c r="AJ4658" i="2"/>
  <c r="AF4659" i="2"/>
  <c r="AK4659" i="2"/>
  <c r="AG4659" i="2"/>
  <c r="AH4659" i="2"/>
  <c r="AI4659" i="2"/>
  <c r="AJ4659" i="2"/>
  <c r="AF4660" i="2"/>
  <c r="AK4660" i="2" s="1"/>
  <c r="AG4660" i="2"/>
  <c r="AH4660" i="2"/>
  <c r="AI4660" i="2"/>
  <c r="AJ4660" i="2"/>
  <c r="AF4661" i="2"/>
  <c r="AK4661" i="2"/>
  <c r="AG4661" i="2"/>
  <c r="AL4661" i="2" s="1"/>
  <c r="AH4661" i="2"/>
  <c r="AI4661" i="2"/>
  <c r="AJ4661" i="2"/>
  <c r="AF4662" i="2"/>
  <c r="AK4662" i="2" s="1"/>
  <c r="AL4662" i="2"/>
  <c r="AG4662" i="2"/>
  <c r="AH4662" i="2"/>
  <c r="AI4662" i="2"/>
  <c r="AJ4662" i="2"/>
  <c r="AF4663" i="2"/>
  <c r="AK4663" i="2" s="1"/>
  <c r="AL4663" i="2" s="1"/>
  <c r="AG4663" i="2"/>
  <c r="AH4663" i="2"/>
  <c r="AI4663" i="2"/>
  <c r="AJ4663" i="2"/>
  <c r="AF4664" i="2"/>
  <c r="AK4664" i="2" s="1"/>
  <c r="AL4664" i="2" s="1"/>
  <c r="AG4664" i="2"/>
  <c r="AH4664" i="2"/>
  <c r="AI4664" i="2"/>
  <c r="AJ4664" i="2"/>
  <c r="AF4665" i="2"/>
  <c r="AK4665" i="2"/>
  <c r="AG4665" i="2"/>
  <c r="AH4665" i="2"/>
  <c r="AI4665" i="2"/>
  <c r="AJ4665" i="2"/>
  <c r="AF4666" i="2"/>
  <c r="AK4666" i="2"/>
  <c r="AG4666" i="2"/>
  <c r="AH4666" i="2"/>
  <c r="AI4666" i="2"/>
  <c r="AJ4666" i="2"/>
  <c r="AF4667" i="2"/>
  <c r="AK4667" i="2" s="1"/>
  <c r="AL4667" i="2"/>
  <c r="AG4667" i="2"/>
  <c r="AH4667" i="2"/>
  <c r="AI4667" i="2"/>
  <c r="AJ4667" i="2"/>
  <c r="AF4668" i="2"/>
  <c r="AK4668" i="2"/>
  <c r="AL4668" i="2" s="1"/>
  <c r="AG4668" i="2"/>
  <c r="AH4668" i="2"/>
  <c r="AI4668" i="2"/>
  <c r="AJ4668" i="2"/>
  <c r="AF4669" i="2"/>
  <c r="AK4669" i="2" s="1"/>
  <c r="AG4669" i="2"/>
  <c r="AL4669" i="2" s="1"/>
  <c r="AH4669" i="2"/>
  <c r="AI4669" i="2"/>
  <c r="AJ4669" i="2"/>
  <c r="AF4670" i="2"/>
  <c r="AK4670" i="2"/>
  <c r="AG4670" i="2"/>
  <c r="AH4670" i="2"/>
  <c r="AI4670" i="2"/>
  <c r="AJ4670" i="2"/>
  <c r="AF4671" i="2"/>
  <c r="AK4671" i="2" s="1"/>
  <c r="AG4671" i="2"/>
  <c r="AH4671" i="2"/>
  <c r="AI4671" i="2"/>
  <c r="AJ4671" i="2"/>
  <c r="AF4672" i="2"/>
  <c r="AK4672" i="2" s="1"/>
  <c r="AG4672" i="2"/>
  <c r="AH4672" i="2"/>
  <c r="AI4672" i="2"/>
  <c r="AJ4672" i="2"/>
  <c r="AF4673" i="2"/>
  <c r="AK4673" i="2"/>
  <c r="AG4673" i="2"/>
  <c r="AH4673" i="2"/>
  <c r="AI4673" i="2"/>
  <c r="AJ4673" i="2"/>
  <c r="AF4674" i="2"/>
  <c r="AK4674" i="2"/>
  <c r="AG4674" i="2"/>
  <c r="AH4674" i="2"/>
  <c r="AI4674" i="2"/>
  <c r="AJ4674" i="2"/>
  <c r="AF4675" i="2"/>
  <c r="AK4675" i="2" s="1"/>
  <c r="AG4675" i="2"/>
  <c r="AL4675" i="2" s="1"/>
  <c r="AH4675" i="2"/>
  <c r="AI4675" i="2"/>
  <c r="AJ4675" i="2"/>
  <c r="AF4676" i="2"/>
  <c r="AK4676" i="2"/>
  <c r="AG4676" i="2"/>
  <c r="AH4676" i="2"/>
  <c r="AI4676" i="2"/>
  <c r="AJ4676" i="2"/>
  <c r="AF4677" i="2"/>
  <c r="AK4677" i="2" s="1"/>
  <c r="AG4677" i="2"/>
  <c r="AH4677" i="2"/>
  <c r="AI4677" i="2"/>
  <c r="AJ4677" i="2"/>
  <c r="AF4678" i="2"/>
  <c r="AK4678" i="2" s="1"/>
  <c r="AG4678" i="2"/>
  <c r="AL4678" i="2" s="1"/>
  <c r="AH4678" i="2"/>
  <c r="AI4678" i="2"/>
  <c r="AJ4678" i="2"/>
  <c r="AF4679" i="2"/>
  <c r="AK4679" i="2"/>
  <c r="AG4679" i="2"/>
  <c r="AH4679" i="2"/>
  <c r="AI4679" i="2"/>
  <c r="AL4679" i="2" s="1"/>
  <c r="AJ4679" i="2"/>
  <c r="AF4680" i="2"/>
  <c r="AK4680" i="2"/>
  <c r="AG4680" i="2"/>
  <c r="AH4680" i="2"/>
  <c r="AL4680" i="2" s="1"/>
  <c r="AI4680" i="2"/>
  <c r="AJ4680" i="2"/>
  <c r="AF4681" i="2"/>
  <c r="AK4681" i="2" s="1"/>
  <c r="AG4681" i="2"/>
  <c r="AH4681" i="2"/>
  <c r="AI4681" i="2"/>
  <c r="AL4681" i="2" s="1"/>
  <c r="AJ4681" i="2"/>
  <c r="AF4682" i="2"/>
  <c r="AK4682" i="2" s="1"/>
  <c r="AG4682" i="2"/>
  <c r="AH4682" i="2"/>
  <c r="AI4682" i="2"/>
  <c r="AJ4682" i="2"/>
  <c r="AL4682" i="2" s="1"/>
  <c r="AF4683" i="2"/>
  <c r="AK4683" i="2"/>
  <c r="AG4683" i="2"/>
  <c r="AH4683" i="2"/>
  <c r="AI4683" i="2"/>
  <c r="AJ4683" i="2"/>
  <c r="AF4684" i="2"/>
  <c r="AK4684" i="2" s="1"/>
  <c r="AG4684" i="2"/>
  <c r="AH4684" i="2"/>
  <c r="AI4684" i="2"/>
  <c r="AJ4684" i="2"/>
  <c r="AF4685" i="2"/>
  <c r="AK4685" i="2"/>
  <c r="AL4685" i="2"/>
  <c r="AG4685" i="2"/>
  <c r="AH4685" i="2"/>
  <c r="AI4685" i="2"/>
  <c r="AJ4685" i="2"/>
  <c r="AF4686" i="2"/>
  <c r="AK4686" i="2" s="1"/>
  <c r="AG4686" i="2"/>
  <c r="AL4686" i="2" s="1"/>
  <c r="AH4686" i="2"/>
  <c r="AI4686" i="2"/>
  <c r="AJ4686" i="2"/>
  <c r="AF4687" i="2"/>
  <c r="AK4687" i="2" s="1"/>
  <c r="AG4687" i="2"/>
  <c r="AH4687" i="2"/>
  <c r="AI4687" i="2"/>
  <c r="AL4687" i="2"/>
  <c r="AJ4687" i="2"/>
  <c r="AF4688" i="2"/>
  <c r="AK4688" i="2" s="1"/>
  <c r="AG4688" i="2"/>
  <c r="AH4688" i="2"/>
  <c r="AI4688" i="2"/>
  <c r="AJ4688" i="2"/>
  <c r="AF4689" i="2"/>
  <c r="AK4689" i="2" s="1"/>
  <c r="AG4689" i="2"/>
  <c r="AL4689" i="2" s="1"/>
  <c r="AH4689" i="2"/>
  <c r="AI4689" i="2"/>
  <c r="AJ4689" i="2"/>
  <c r="AF4690" i="2"/>
  <c r="AK4690" i="2"/>
  <c r="AG4690" i="2"/>
  <c r="AH4690" i="2"/>
  <c r="AL4690" i="2"/>
  <c r="AI4690" i="2"/>
  <c r="AJ4690" i="2"/>
  <c r="AF4691" i="2"/>
  <c r="AK4691" i="2" s="1"/>
  <c r="AG4691" i="2"/>
  <c r="AL4691" i="2" s="1"/>
  <c r="AH4691" i="2"/>
  <c r="AI4691" i="2"/>
  <c r="AJ4691" i="2"/>
  <c r="AF4692" i="2"/>
  <c r="AK4692" i="2"/>
  <c r="AG4692" i="2"/>
  <c r="AH4692" i="2"/>
  <c r="AL4692" i="2" s="1"/>
  <c r="AI4692" i="2"/>
  <c r="AJ4692" i="2"/>
  <c r="AF4693" i="2"/>
  <c r="AG4693" i="2"/>
  <c r="AH4693" i="2"/>
  <c r="AI4693" i="2"/>
  <c r="AJ4693" i="2"/>
  <c r="AK4693" i="2"/>
  <c r="AF4694" i="2"/>
  <c r="AK4694" i="2" s="1"/>
  <c r="AG4694" i="2"/>
  <c r="AH4694" i="2"/>
  <c r="AL4694" i="2" s="1"/>
  <c r="AI4694" i="2"/>
  <c r="AJ4694" i="2"/>
  <c r="AF4695" i="2"/>
  <c r="AK4695" i="2"/>
  <c r="AG4695" i="2"/>
  <c r="AH4695" i="2"/>
  <c r="AI4695" i="2"/>
  <c r="AJ4695" i="2"/>
  <c r="AF4696" i="2"/>
  <c r="AK4696" i="2" s="1"/>
  <c r="AG4696" i="2"/>
  <c r="AL4696" i="2" s="1"/>
  <c r="AH4696" i="2"/>
  <c r="AI4696" i="2"/>
  <c r="AJ4696" i="2"/>
  <c r="AF4697" i="2"/>
  <c r="AK4697" i="2" s="1"/>
  <c r="AL4697" i="2" s="1"/>
  <c r="AG4697" i="2"/>
  <c r="AH4697" i="2"/>
  <c r="AI4697" i="2"/>
  <c r="AJ4697" i="2"/>
  <c r="AF4698" i="2"/>
  <c r="AK4698" i="2" s="1"/>
  <c r="AG4698" i="2"/>
  <c r="AH4698" i="2"/>
  <c r="AI4698" i="2"/>
  <c r="AJ4698" i="2"/>
  <c r="AL4698" i="2" s="1"/>
  <c r="AF4699" i="2"/>
  <c r="AK4699" i="2" s="1"/>
  <c r="AG4699" i="2"/>
  <c r="AH4699" i="2"/>
  <c r="AI4699" i="2"/>
  <c r="AL4699" i="2" s="1"/>
  <c r="AJ4699" i="2"/>
  <c r="AF4700" i="2"/>
  <c r="AK4700" i="2" s="1"/>
  <c r="AG4700" i="2"/>
  <c r="AL4700" i="2" s="1"/>
  <c r="AH4700" i="2"/>
  <c r="AI4700" i="2"/>
  <c r="AJ4700" i="2"/>
  <c r="AF4701" i="2"/>
  <c r="AK4701" i="2"/>
  <c r="AG4701" i="2"/>
  <c r="AH4701" i="2"/>
  <c r="AI4701" i="2"/>
  <c r="AJ4701" i="2"/>
  <c r="AF4702" i="2"/>
  <c r="AK4702" i="2" s="1"/>
  <c r="AG4702" i="2"/>
  <c r="AH4702" i="2"/>
  <c r="AI4702" i="2"/>
  <c r="AJ4702" i="2"/>
  <c r="AF4703" i="2"/>
  <c r="AK4703" i="2"/>
  <c r="AG4703" i="2"/>
  <c r="AH4703" i="2"/>
  <c r="AI4703" i="2"/>
  <c r="AJ4703" i="2"/>
  <c r="AF4704" i="2"/>
  <c r="AK4704" i="2"/>
  <c r="AG4704" i="2"/>
  <c r="AH4704" i="2"/>
  <c r="AI4704" i="2"/>
  <c r="AJ4704" i="2"/>
  <c r="AF4705" i="2"/>
  <c r="AK4705" i="2"/>
  <c r="AG4705" i="2"/>
  <c r="AH4705" i="2"/>
  <c r="AI4705" i="2"/>
  <c r="AJ4705" i="2"/>
  <c r="AF4706" i="2"/>
  <c r="AK4706" i="2" s="1"/>
  <c r="AG4706" i="2"/>
  <c r="AH4706" i="2"/>
  <c r="AI4706" i="2"/>
  <c r="AJ4706" i="2"/>
  <c r="AF4707" i="2"/>
  <c r="AK4707" i="2"/>
  <c r="AG4707" i="2"/>
  <c r="AL4707" i="2" s="1"/>
  <c r="AH4707" i="2"/>
  <c r="AI4707" i="2"/>
  <c r="AJ4707" i="2"/>
  <c r="AF4708" i="2"/>
  <c r="AK4708" i="2" s="1"/>
  <c r="AG4708" i="2"/>
  <c r="AL4708" i="2" s="1"/>
  <c r="AH4708" i="2"/>
  <c r="AI4708" i="2"/>
  <c r="AJ4708" i="2"/>
  <c r="AF4709" i="2"/>
  <c r="AK4709" i="2"/>
  <c r="AL4709" i="2" s="1"/>
  <c r="AG4709" i="2"/>
  <c r="AH4709" i="2"/>
  <c r="AI4709" i="2"/>
  <c r="AJ4709" i="2"/>
  <c r="AF4710" i="2"/>
  <c r="AK4710" i="2"/>
  <c r="AG4710" i="2"/>
  <c r="AL4710" i="2" s="1"/>
  <c r="AH4710" i="2"/>
  <c r="AI4710" i="2"/>
  <c r="AJ4710" i="2"/>
  <c r="AF4711" i="2"/>
  <c r="AG4711" i="2"/>
  <c r="AH4711" i="2"/>
  <c r="AL4711" i="2" s="1"/>
  <c r="AI4711" i="2"/>
  <c r="AJ4711" i="2"/>
  <c r="AK4711" i="2"/>
  <c r="AF4712" i="2"/>
  <c r="AK4712" i="2" s="1"/>
  <c r="AG4712" i="2"/>
  <c r="AH4712" i="2"/>
  <c r="AI4712" i="2"/>
  <c r="AJ4712" i="2"/>
  <c r="AF4713" i="2"/>
  <c r="AK4713" i="2" s="1"/>
  <c r="AG4713" i="2"/>
  <c r="AH4713" i="2"/>
  <c r="AI4713" i="2"/>
  <c r="AJ4713" i="2"/>
  <c r="AF4714" i="2"/>
  <c r="AK4714" i="2"/>
  <c r="AG4714" i="2"/>
  <c r="AL4714" i="2" s="1"/>
  <c r="AH4714" i="2"/>
  <c r="AI4714" i="2"/>
  <c r="AJ4714" i="2"/>
  <c r="AF4715" i="2"/>
  <c r="AK4715" i="2" s="1"/>
  <c r="AG4715" i="2"/>
  <c r="AL4715" i="2" s="1"/>
  <c r="AH4715" i="2"/>
  <c r="AI4715" i="2"/>
  <c r="AJ4715" i="2"/>
  <c r="AF4716" i="2"/>
  <c r="AK4716" i="2"/>
  <c r="AG4716" i="2"/>
  <c r="AH4716" i="2"/>
  <c r="AI4716" i="2"/>
  <c r="AJ4716" i="2"/>
  <c r="AF4717" i="2"/>
  <c r="AK4717" i="2" s="1"/>
  <c r="AG4717" i="2"/>
  <c r="AL4717" i="2" s="1"/>
  <c r="AH4717" i="2"/>
  <c r="AI4717" i="2"/>
  <c r="AJ4717" i="2"/>
  <c r="AF4718" i="2"/>
  <c r="AK4718" i="2"/>
  <c r="AG4718" i="2"/>
  <c r="AL4718" i="2"/>
  <c r="AH4718" i="2"/>
  <c r="AI4718" i="2"/>
  <c r="AJ4718" i="2"/>
  <c r="AF4719" i="2"/>
  <c r="AK4719" i="2" s="1"/>
  <c r="AG4719" i="2"/>
  <c r="AH4719" i="2"/>
  <c r="AI4719" i="2"/>
  <c r="AJ4719" i="2"/>
  <c r="AL4719" i="2" s="1"/>
  <c r="AF4720" i="2"/>
  <c r="AK4720" i="2"/>
  <c r="AG4720" i="2"/>
  <c r="AH4720" i="2"/>
  <c r="AI4720" i="2"/>
  <c r="AJ4720" i="2"/>
  <c r="AF4721" i="2"/>
  <c r="AK4721" i="2"/>
  <c r="AG4721" i="2"/>
  <c r="AH4721" i="2"/>
  <c r="AI4721" i="2"/>
  <c r="AJ4721" i="2"/>
  <c r="AF4722" i="2"/>
  <c r="AK4722" i="2"/>
  <c r="AG4722" i="2"/>
  <c r="AH4722" i="2"/>
  <c r="AI4722" i="2"/>
  <c r="AJ4722" i="2"/>
  <c r="AF4723" i="2"/>
  <c r="AK4723" i="2" s="1"/>
  <c r="AG4723" i="2"/>
  <c r="AH4723" i="2"/>
  <c r="AI4723" i="2"/>
  <c r="AJ4723" i="2"/>
  <c r="AF4724" i="2"/>
  <c r="AK4724" i="2" s="1"/>
  <c r="AG4724" i="2"/>
  <c r="AH4724" i="2"/>
  <c r="AI4724" i="2"/>
  <c r="AJ4724" i="2"/>
  <c r="AF4725" i="2"/>
  <c r="AK4725" i="2"/>
  <c r="AG4725" i="2"/>
  <c r="AH4725" i="2"/>
  <c r="AI4725" i="2"/>
  <c r="AJ4725" i="2"/>
  <c r="AF4726" i="2"/>
  <c r="AK4726" i="2" s="1"/>
  <c r="AG4726" i="2"/>
  <c r="AL4726" i="2" s="1"/>
  <c r="AH4726" i="2"/>
  <c r="AI4726" i="2"/>
  <c r="AJ4726" i="2"/>
  <c r="AF4727" i="2"/>
  <c r="AK4727" i="2" s="1"/>
  <c r="AG4727" i="2"/>
  <c r="AH4727" i="2"/>
  <c r="AI4727" i="2"/>
  <c r="AJ4727" i="2"/>
  <c r="AF4728" i="2"/>
  <c r="AK4728" i="2"/>
  <c r="AL4728" i="2"/>
  <c r="AG4728" i="2"/>
  <c r="AH4728" i="2"/>
  <c r="AI4728" i="2"/>
  <c r="AJ4728" i="2"/>
  <c r="AF4729" i="2"/>
  <c r="AK4729" i="2" s="1"/>
  <c r="AL4729" i="2" s="1"/>
  <c r="AG4729" i="2"/>
  <c r="AH4729" i="2"/>
  <c r="AI4729" i="2"/>
  <c r="AJ4729" i="2"/>
  <c r="AF4730" i="2"/>
  <c r="AK4730" i="2"/>
  <c r="AG4730" i="2"/>
  <c r="AH4730" i="2"/>
  <c r="AI4730" i="2"/>
  <c r="AJ4730" i="2"/>
  <c r="AF4731" i="2"/>
  <c r="AK4731" i="2" s="1"/>
  <c r="AG4731" i="2"/>
  <c r="AL4731" i="2" s="1"/>
  <c r="AH4731" i="2"/>
  <c r="AI4731" i="2"/>
  <c r="AJ4731" i="2"/>
  <c r="AF4732" i="2"/>
  <c r="AK4732" i="2"/>
  <c r="AG4732" i="2"/>
  <c r="AH4732" i="2"/>
  <c r="AI4732" i="2"/>
  <c r="AJ4732" i="2"/>
  <c r="AF4733" i="2"/>
  <c r="AK4733" i="2" s="1"/>
  <c r="AG4733" i="2"/>
  <c r="AH4733" i="2"/>
  <c r="AI4733" i="2"/>
  <c r="AJ4733" i="2"/>
  <c r="AF4734" i="2"/>
  <c r="AK4734" i="2"/>
  <c r="AG4734" i="2"/>
  <c r="AH4734" i="2"/>
  <c r="AI4734" i="2"/>
  <c r="AJ4734" i="2"/>
  <c r="AF4735" i="2"/>
  <c r="AK4735" i="2"/>
  <c r="AG4735" i="2"/>
  <c r="AL4735" i="2"/>
  <c r="AH4735" i="2"/>
  <c r="AI4735" i="2"/>
  <c r="AJ4735" i="2"/>
  <c r="AF4736" i="2"/>
  <c r="AK4736" i="2" s="1"/>
  <c r="AG4736" i="2"/>
  <c r="AH4736" i="2"/>
  <c r="AI4736" i="2"/>
  <c r="AJ4736" i="2"/>
  <c r="AF4737" i="2"/>
  <c r="AK4737" i="2"/>
  <c r="AG4737" i="2"/>
  <c r="AH4737" i="2"/>
  <c r="AI4737" i="2"/>
  <c r="AJ4737" i="2"/>
  <c r="AF4738" i="2"/>
  <c r="AK4738" i="2" s="1"/>
  <c r="AG4738" i="2"/>
  <c r="AH4738" i="2"/>
  <c r="AI4738" i="2"/>
  <c r="AJ4738" i="2"/>
  <c r="AF4739" i="2"/>
  <c r="AK4739" i="2"/>
  <c r="AG4739" i="2"/>
  <c r="AL4739" i="2" s="1"/>
  <c r="AH4739" i="2"/>
  <c r="AI4739" i="2"/>
  <c r="AJ4739" i="2"/>
  <c r="AF4740" i="2"/>
  <c r="AK4740" i="2" s="1"/>
  <c r="AG4740" i="2"/>
  <c r="AL4740" i="2" s="1"/>
  <c r="AH4740" i="2"/>
  <c r="AI4740" i="2"/>
  <c r="AJ4740" i="2"/>
  <c r="AF4741" i="2"/>
  <c r="AK4741" i="2"/>
  <c r="AG4741" i="2"/>
  <c r="AH4741" i="2"/>
  <c r="AI4741" i="2"/>
  <c r="AJ4741" i="2"/>
  <c r="AL4741" i="2" s="1"/>
  <c r="AF4742" i="2"/>
  <c r="AK4742" i="2" s="1"/>
  <c r="AG4742" i="2"/>
  <c r="AL4742" i="2" s="1"/>
  <c r="AH4742" i="2"/>
  <c r="AI4742" i="2"/>
  <c r="AJ4742" i="2"/>
  <c r="AF4743" i="2"/>
  <c r="AK4743" i="2" s="1"/>
  <c r="AG4743" i="2"/>
  <c r="AH4743" i="2"/>
  <c r="AI4743" i="2"/>
  <c r="AJ4743" i="2"/>
  <c r="AL4743" i="2" s="1"/>
  <c r="AF4744" i="2"/>
  <c r="AK4744" i="2"/>
  <c r="AG4744" i="2"/>
  <c r="AH4744" i="2"/>
  <c r="AI4744" i="2"/>
  <c r="AJ4744" i="2"/>
  <c r="AF4745" i="2"/>
  <c r="AK4745" i="2" s="1"/>
  <c r="AL4745" i="2" s="1"/>
  <c r="AG4745" i="2"/>
  <c r="AH4745" i="2"/>
  <c r="AI4745" i="2"/>
  <c r="AJ4745" i="2"/>
  <c r="AF4746" i="2"/>
  <c r="AK4746" i="2" s="1"/>
  <c r="AG4746" i="2"/>
  <c r="AH4746" i="2"/>
  <c r="AI4746" i="2"/>
  <c r="AJ4746" i="2"/>
  <c r="AF4747" i="2"/>
  <c r="AK4747" i="2"/>
  <c r="AL4747" i="2"/>
  <c r="AG4747" i="2"/>
  <c r="AH4747" i="2"/>
  <c r="AI4747" i="2"/>
  <c r="AJ4747" i="2"/>
  <c r="AF4748" i="2"/>
  <c r="AK4748" i="2" s="1"/>
  <c r="AG4748" i="2"/>
  <c r="AH4748" i="2"/>
  <c r="AI4748" i="2"/>
  <c r="AJ4748" i="2"/>
  <c r="AF4749" i="2"/>
  <c r="AK4749" i="2" s="1"/>
  <c r="AG4749" i="2"/>
  <c r="AH4749" i="2"/>
  <c r="AI4749" i="2"/>
  <c r="AJ4749" i="2"/>
  <c r="AF4750" i="2"/>
  <c r="AK4750" i="2" s="1"/>
  <c r="AG4750" i="2"/>
  <c r="AH4750" i="2"/>
  <c r="AI4750" i="2"/>
  <c r="AJ4750" i="2"/>
  <c r="AF4751" i="2"/>
  <c r="AK4751" i="2" s="1"/>
  <c r="AG4751" i="2"/>
  <c r="AH4751" i="2"/>
  <c r="AI4751" i="2"/>
  <c r="AJ4751" i="2"/>
  <c r="AF4752" i="2"/>
  <c r="AK4752" i="2"/>
  <c r="AG4752" i="2"/>
  <c r="AH4752" i="2"/>
  <c r="AI4752" i="2"/>
  <c r="AJ4752" i="2"/>
  <c r="AF4753" i="2"/>
  <c r="AK4753" i="2"/>
  <c r="AG4753" i="2"/>
  <c r="AL4753" i="2"/>
  <c r="AH4753" i="2"/>
  <c r="AI4753" i="2"/>
  <c r="AJ4753" i="2"/>
  <c r="AF4754" i="2"/>
  <c r="AK4754" i="2" s="1"/>
  <c r="AG4754" i="2"/>
  <c r="AH4754" i="2"/>
  <c r="AI4754" i="2"/>
  <c r="AJ4754" i="2"/>
  <c r="AF4755" i="2"/>
  <c r="AK4755" i="2" s="1"/>
  <c r="AG4755" i="2"/>
  <c r="AH4755" i="2"/>
  <c r="AL4755" i="2" s="1"/>
  <c r="AI4755" i="2"/>
  <c r="AJ4755" i="2"/>
  <c r="AF4756" i="2"/>
  <c r="AK4756" i="2"/>
  <c r="AG4756" i="2"/>
  <c r="AH4756" i="2"/>
  <c r="AI4756" i="2"/>
  <c r="AJ4756" i="2"/>
  <c r="AF4757" i="2"/>
  <c r="AK4757" i="2" s="1"/>
  <c r="AG4757" i="2"/>
  <c r="AH4757" i="2"/>
  <c r="AI4757" i="2"/>
  <c r="AJ4757" i="2"/>
  <c r="AF4758" i="2"/>
  <c r="AK4758" i="2"/>
  <c r="AG4758" i="2"/>
  <c r="AH4758" i="2"/>
  <c r="AI4758" i="2"/>
  <c r="AL4758" i="2" s="1"/>
  <c r="AJ4758" i="2"/>
  <c r="AF4759" i="2"/>
  <c r="AK4759" i="2"/>
  <c r="AG4759" i="2"/>
  <c r="AH4759" i="2"/>
  <c r="AI4759" i="2"/>
  <c r="AJ4759" i="2"/>
  <c r="AF4760" i="2"/>
  <c r="AK4760" i="2" s="1"/>
  <c r="AG4760" i="2"/>
  <c r="AH4760" i="2"/>
  <c r="AI4760" i="2"/>
  <c r="AJ4760" i="2"/>
  <c r="AF4761" i="2"/>
  <c r="AK4761" i="2"/>
  <c r="AG4761" i="2"/>
  <c r="AH4761" i="2"/>
  <c r="AI4761" i="2"/>
  <c r="AJ4761" i="2"/>
  <c r="AF4762" i="2"/>
  <c r="AK4762" i="2" s="1"/>
  <c r="AG4762" i="2"/>
  <c r="AL4762" i="2" s="1"/>
  <c r="AH4762" i="2"/>
  <c r="AI4762" i="2"/>
  <c r="AJ4762" i="2"/>
  <c r="AF4763" i="2"/>
  <c r="AK4763" i="2" s="1"/>
  <c r="AG4763" i="2"/>
  <c r="AH4763" i="2"/>
  <c r="AI4763" i="2"/>
  <c r="AJ4763" i="2"/>
  <c r="AF4764" i="2"/>
  <c r="AK4764" i="2"/>
  <c r="AG4764" i="2"/>
  <c r="AL4764" i="2" s="1"/>
  <c r="AH4764" i="2"/>
  <c r="AI4764" i="2"/>
  <c r="AJ4764" i="2"/>
  <c r="AF4765" i="2"/>
  <c r="AK4765" i="2" s="1"/>
  <c r="AG4765" i="2"/>
  <c r="AL4765" i="2" s="1"/>
  <c r="AH4765" i="2"/>
  <c r="AI4765" i="2"/>
  <c r="AJ4765" i="2"/>
  <c r="AF4766" i="2"/>
  <c r="AK4766" i="2"/>
  <c r="AG4766" i="2"/>
  <c r="AH4766" i="2"/>
  <c r="AI4766" i="2"/>
  <c r="AJ4766" i="2"/>
  <c r="AF4767" i="2"/>
  <c r="AK4767" i="2" s="1"/>
  <c r="AG4767" i="2"/>
  <c r="AH4767" i="2"/>
  <c r="AI4767" i="2"/>
  <c r="AJ4767" i="2"/>
  <c r="AF4768" i="2"/>
  <c r="AK4768" i="2"/>
  <c r="AG4768" i="2"/>
  <c r="AH4768" i="2"/>
  <c r="AL4768" i="2" s="1"/>
  <c r="AI4768" i="2"/>
  <c r="AJ4768" i="2"/>
  <c r="AF4769" i="2"/>
  <c r="AK4769" i="2" s="1"/>
  <c r="AL4769" i="2"/>
  <c r="AG4769" i="2"/>
  <c r="AH4769" i="2"/>
  <c r="AI4769" i="2"/>
  <c r="AJ4769" i="2"/>
  <c r="AF4770" i="2"/>
  <c r="AK4770" i="2"/>
  <c r="AG4770" i="2"/>
  <c r="AH4770" i="2"/>
  <c r="AI4770" i="2"/>
  <c r="AJ4770" i="2"/>
  <c r="AF4771" i="2"/>
  <c r="AK4771" i="2" s="1"/>
  <c r="AG4771" i="2"/>
  <c r="AL4771" i="2" s="1"/>
  <c r="AH4771" i="2"/>
  <c r="AI4771" i="2"/>
  <c r="AJ4771" i="2"/>
  <c r="AF4772" i="2"/>
  <c r="AK4772" i="2" s="1"/>
  <c r="AG4772" i="2"/>
  <c r="AH4772" i="2"/>
  <c r="AI4772" i="2"/>
  <c r="AJ4772" i="2"/>
  <c r="AL4772" i="2" s="1"/>
  <c r="AF4773" i="2"/>
  <c r="AK4773" i="2"/>
  <c r="AL4773" i="2" s="1"/>
  <c r="AG4773" i="2"/>
  <c r="AH4773" i="2"/>
  <c r="AI4773" i="2"/>
  <c r="AJ4773" i="2"/>
  <c r="AF4774" i="2"/>
  <c r="AK4774" i="2" s="1"/>
  <c r="AG4774" i="2"/>
  <c r="AH4774" i="2"/>
  <c r="AI4774" i="2"/>
  <c r="AJ4774" i="2"/>
  <c r="AF4775" i="2"/>
  <c r="AK4775" i="2" s="1"/>
  <c r="AG4775" i="2"/>
  <c r="AH4775" i="2"/>
  <c r="AI4775" i="2"/>
  <c r="AJ4775" i="2"/>
  <c r="AF4776" i="2"/>
  <c r="AK4776" i="2"/>
  <c r="AL4776" i="2"/>
  <c r="AG4776" i="2"/>
  <c r="AH4776" i="2"/>
  <c r="AI4776" i="2"/>
  <c r="AJ4776" i="2"/>
  <c r="AF4777" i="2"/>
  <c r="AK4777" i="2" s="1"/>
  <c r="AG4777" i="2"/>
  <c r="AL4777" i="2" s="1"/>
  <c r="AH4777" i="2"/>
  <c r="AI4777" i="2"/>
  <c r="AJ4777" i="2"/>
  <c r="AF4778" i="2"/>
  <c r="AK4778" i="2"/>
  <c r="AG4778" i="2"/>
  <c r="AH4778" i="2"/>
  <c r="AI4778" i="2"/>
  <c r="AJ4778" i="2"/>
  <c r="AF4779" i="2"/>
  <c r="AK4779" i="2" s="1"/>
  <c r="AG4779" i="2"/>
  <c r="AH4779" i="2"/>
  <c r="AI4779" i="2"/>
  <c r="AJ4779" i="2"/>
  <c r="AF4780" i="2"/>
  <c r="AK4780" i="2" s="1"/>
  <c r="AG4780" i="2"/>
  <c r="AH4780" i="2"/>
  <c r="AI4780" i="2"/>
  <c r="AJ4780" i="2"/>
  <c r="AF4781" i="2"/>
  <c r="AK4781" i="2"/>
  <c r="AG4781" i="2"/>
  <c r="AL4781" i="2" s="1"/>
  <c r="AH4781" i="2"/>
  <c r="AI4781" i="2"/>
  <c r="AJ4781" i="2"/>
  <c r="AF4782" i="2"/>
  <c r="AK4782" i="2" s="1"/>
  <c r="AL4782" i="2"/>
  <c r="AG4782" i="2"/>
  <c r="AH4782" i="2"/>
  <c r="AI4782" i="2"/>
  <c r="AJ4782" i="2"/>
  <c r="AF4783" i="2"/>
  <c r="AK4783" i="2"/>
  <c r="AG4783" i="2"/>
  <c r="AL4783" i="2"/>
  <c r="AH4783" i="2"/>
  <c r="AI4783" i="2"/>
  <c r="AJ4783" i="2"/>
  <c r="AF4784" i="2"/>
  <c r="AK4784" i="2" s="1"/>
  <c r="AG4784" i="2"/>
  <c r="AH4784" i="2"/>
  <c r="AI4784" i="2"/>
  <c r="AL4784" i="2"/>
  <c r="AJ4784" i="2"/>
  <c r="AF4785" i="2"/>
  <c r="AK4785" i="2" s="1"/>
  <c r="AG4785" i="2"/>
  <c r="AH4785" i="2"/>
  <c r="AI4785" i="2"/>
  <c r="AJ4785" i="2"/>
  <c r="AF4786" i="2"/>
  <c r="AK4786" i="2" s="1"/>
  <c r="AG4786" i="2"/>
  <c r="AL4786" i="2" s="1"/>
  <c r="AH4786" i="2"/>
  <c r="AI4786" i="2"/>
  <c r="AJ4786" i="2"/>
  <c r="AF4787" i="2"/>
  <c r="AK4787" i="2"/>
  <c r="AG4787" i="2"/>
  <c r="AH4787" i="2"/>
  <c r="AL4787" i="2" s="1"/>
  <c r="AI4787" i="2"/>
  <c r="AJ4787" i="2"/>
  <c r="AF4788" i="2"/>
  <c r="AK4788" i="2" s="1"/>
  <c r="AG4788" i="2"/>
  <c r="AH4788" i="2"/>
  <c r="AI4788" i="2"/>
  <c r="AJ4788" i="2"/>
  <c r="AF4789" i="2"/>
  <c r="AK4789" i="2"/>
  <c r="AG4789" i="2"/>
  <c r="AH4789" i="2"/>
  <c r="AI4789" i="2"/>
  <c r="AJ4789" i="2"/>
  <c r="AF4790" i="2"/>
  <c r="AK4790" i="2" s="1"/>
  <c r="AG4790" i="2"/>
  <c r="AH4790" i="2"/>
  <c r="AI4790" i="2"/>
  <c r="AJ4790" i="2"/>
  <c r="AF4791" i="2"/>
  <c r="AK4791" i="2"/>
  <c r="AG4791" i="2"/>
  <c r="AH4791" i="2"/>
  <c r="AI4791" i="2"/>
  <c r="AJ4791" i="2"/>
  <c r="AF4792" i="2"/>
  <c r="AK4792" i="2" s="1"/>
  <c r="AL4792" i="2"/>
  <c r="AG4792" i="2"/>
  <c r="AH4792" i="2"/>
  <c r="AI4792" i="2"/>
  <c r="AJ4792" i="2"/>
  <c r="AF4793" i="2"/>
  <c r="AK4793" i="2"/>
  <c r="AG4793" i="2"/>
  <c r="AH4793" i="2"/>
  <c r="AI4793" i="2"/>
  <c r="AJ4793" i="2"/>
  <c r="AF4794" i="2"/>
  <c r="AK4794" i="2"/>
  <c r="AG4794" i="2"/>
  <c r="AH4794" i="2"/>
  <c r="AI4794" i="2"/>
  <c r="AJ4794" i="2"/>
  <c r="AF4795" i="2"/>
  <c r="AK4795" i="2"/>
  <c r="AG4795" i="2"/>
  <c r="AH4795" i="2"/>
  <c r="AI4795" i="2"/>
  <c r="AJ4795" i="2"/>
  <c r="AF4796" i="2"/>
  <c r="AK4796" i="2" s="1"/>
  <c r="AG4796" i="2"/>
  <c r="AH4796" i="2"/>
  <c r="AI4796" i="2"/>
  <c r="AJ4796" i="2"/>
  <c r="AF4797" i="2"/>
  <c r="AK4797" i="2"/>
  <c r="AG4797" i="2"/>
  <c r="AH4797" i="2"/>
  <c r="AI4797" i="2"/>
  <c r="AJ4797" i="2"/>
  <c r="AF4798" i="2"/>
  <c r="AK4798" i="2"/>
  <c r="AG4798" i="2"/>
  <c r="AH4798" i="2"/>
  <c r="AI4798" i="2"/>
  <c r="AJ4798" i="2"/>
  <c r="AF4799" i="2"/>
  <c r="AK4799" i="2" s="1"/>
  <c r="AG4799" i="2"/>
  <c r="AH4799" i="2"/>
  <c r="AI4799" i="2"/>
  <c r="AJ4799" i="2"/>
  <c r="AF4800" i="2"/>
  <c r="AK4800" i="2" s="1"/>
  <c r="AG4800" i="2"/>
  <c r="AL4800" i="2" s="1"/>
  <c r="AH4800" i="2"/>
  <c r="AI4800" i="2"/>
  <c r="AJ4800" i="2"/>
  <c r="AF4801" i="2"/>
  <c r="AK4801" i="2" s="1"/>
  <c r="AG4801" i="2"/>
  <c r="AH4801" i="2"/>
  <c r="AI4801" i="2"/>
  <c r="AJ4801" i="2"/>
  <c r="AF4802" i="2"/>
  <c r="AK4802" i="2"/>
  <c r="AG4802" i="2"/>
  <c r="AH4802" i="2"/>
  <c r="AI4802" i="2"/>
  <c r="AJ4802" i="2"/>
  <c r="AF4803" i="2"/>
  <c r="AK4803" i="2"/>
  <c r="AG4803" i="2"/>
  <c r="AH4803" i="2"/>
  <c r="AI4803" i="2"/>
  <c r="AJ4803" i="2"/>
  <c r="AF4804" i="2"/>
  <c r="AK4804" i="2"/>
  <c r="AG4804" i="2"/>
  <c r="AH4804" i="2"/>
  <c r="AI4804" i="2"/>
  <c r="AJ4804" i="2"/>
  <c r="AF4805" i="2"/>
  <c r="AK4805" i="2"/>
  <c r="AG4805" i="2"/>
  <c r="AH4805" i="2"/>
  <c r="AI4805" i="2"/>
  <c r="AJ4805" i="2"/>
  <c r="AF4806" i="2"/>
  <c r="AK4806" i="2" s="1"/>
  <c r="AG4806" i="2"/>
  <c r="AH4806" i="2"/>
  <c r="AI4806" i="2"/>
  <c r="AJ4806" i="2"/>
  <c r="AF4807" i="2"/>
  <c r="AK4807" i="2"/>
  <c r="AG4807" i="2"/>
  <c r="AH4807" i="2"/>
  <c r="AI4807" i="2"/>
  <c r="AJ4807" i="2"/>
  <c r="AF4808" i="2"/>
  <c r="AK4808" i="2"/>
  <c r="AL4808" i="2" s="1"/>
  <c r="AG4808" i="2"/>
  <c r="AH4808" i="2"/>
  <c r="AI4808" i="2"/>
  <c r="AJ4808" i="2"/>
  <c r="AF4809" i="2"/>
  <c r="AK4809" i="2"/>
  <c r="AG4809" i="2"/>
  <c r="AH4809" i="2"/>
  <c r="AI4809" i="2"/>
  <c r="AJ4809" i="2"/>
  <c r="AF4810" i="2"/>
  <c r="AK4810" i="2" s="1"/>
  <c r="AG4810" i="2"/>
  <c r="AL4810" i="2" s="1"/>
  <c r="AH4810" i="2"/>
  <c r="AI4810" i="2"/>
  <c r="AJ4810" i="2"/>
  <c r="AF4811" i="2"/>
  <c r="AK4811" i="2"/>
  <c r="AG4811" i="2"/>
  <c r="AH4811" i="2"/>
  <c r="AI4811" i="2"/>
  <c r="AJ4811" i="2"/>
  <c r="AF4812" i="2"/>
  <c r="AK4812" i="2" s="1"/>
  <c r="AG4812" i="2"/>
  <c r="AH4812" i="2"/>
  <c r="AI4812" i="2"/>
  <c r="AJ4812" i="2"/>
  <c r="AF4813" i="2"/>
  <c r="AK4813" i="2"/>
  <c r="AG4813" i="2"/>
  <c r="AH4813" i="2"/>
  <c r="AI4813" i="2"/>
  <c r="AJ4813" i="2"/>
  <c r="AF4814" i="2"/>
  <c r="AK4814" i="2" s="1"/>
  <c r="AG4814" i="2"/>
  <c r="AH4814" i="2"/>
  <c r="AI4814" i="2"/>
  <c r="AJ4814" i="2"/>
  <c r="AF4815" i="2"/>
  <c r="AK4815" i="2"/>
  <c r="AL4815" i="2"/>
  <c r="AG4815" i="2"/>
  <c r="AH4815" i="2"/>
  <c r="AI4815" i="2"/>
  <c r="AJ4815" i="2"/>
  <c r="AF4816" i="2"/>
  <c r="AK4816" i="2" s="1"/>
  <c r="AG4816" i="2"/>
  <c r="AH4816" i="2"/>
  <c r="AI4816" i="2"/>
  <c r="AJ4816" i="2"/>
  <c r="AF4817" i="2"/>
  <c r="AK4817" i="2" s="1"/>
  <c r="AG4817" i="2"/>
  <c r="AH4817" i="2"/>
  <c r="AI4817" i="2"/>
  <c r="AJ4817" i="2"/>
  <c r="AF4818" i="2"/>
  <c r="AK4818" i="2"/>
  <c r="AG4818" i="2"/>
  <c r="AH4818" i="2"/>
  <c r="AI4818" i="2"/>
  <c r="AJ4818" i="2"/>
  <c r="AF4819" i="2"/>
  <c r="AK4819" i="2" s="1"/>
  <c r="AG4819" i="2"/>
  <c r="AH4819" i="2"/>
  <c r="AL4819" i="2" s="1"/>
  <c r="AI4819" i="2"/>
  <c r="AJ4819" i="2"/>
  <c r="AF4820" i="2"/>
  <c r="AK4820" i="2" s="1"/>
  <c r="AG4820" i="2"/>
  <c r="AL4820" i="2"/>
  <c r="AH4820" i="2"/>
  <c r="AI4820" i="2"/>
  <c r="AJ4820" i="2"/>
  <c r="AF4821" i="2"/>
  <c r="AK4821" i="2"/>
  <c r="AG4821" i="2"/>
  <c r="AH4821" i="2"/>
  <c r="AI4821" i="2"/>
  <c r="AJ4821" i="2"/>
  <c r="AF4822" i="2"/>
  <c r="AK4822" i="2" s="1"/>
  <c r="AG4822" i="2"/>
  <c r="AH4822" i="2"/>
  <c r="AI4822" i="2"/>
  <c r="AL4822" i="2" s="1"/>
  <c r="AJ4822" i="2"/>
  <c r="AF4823" i="2"/>
  <c r="AK4823" i="2"/>
  <c r="AG4823" i="2"/>
  <c r="AH4823" i="2"/>
  <c r="AI4823" i="2"/>
  <c r="AJ4823" i="2"/>
  <c r="AF4824" i="2"/>
  <c r="AK4824" i="2" s="1"/>
  <c r="AG4824" i="2"/>
  <c r="AH4824" i="2"/>
  <c r="AI4824" i="2"/>
  <c r="AJ4824" i="2"/>
  <c r="AF4825" i="2"/>
  <c r="AK4825" i="2"/>
  <c r="AL4825" i="2" s="1"/>
  <c r="AG4825" i="2"/>
  <c r="AH4825" i="2"/>
  <c r="AI4825" i="2"/>
  <c r="AJ4825" i="2"/>
  <c r="AF4826" i="2"/>
  <c r="AK4826" i="2"/>
  <c r="AG4826" i="2"/>
  <c r="AL4826" i="2"/>
  <c r="AH4826" i="2"/>
  <c r="AI4826" i="2"/>
  <c r="AJ4826" i="2"/>
  <c r="AF4827" i="2"/>
  <c r="AK4827" i="2" s="1"/>
  <c r="AG4827" i="2"/>
  <c r="AH4827" i="2"/>
  <c r="AI4827" i="2"/>
  <c r="AL4827" i="2"/>
  <c r="AJ4827" i="2"/>
  <c r="AF4828" i="2"/>
  <c r="AK4828" i="2" s="1"/>
  <c r="AG4828" i="2"/>
  <c r="AH4828" i="2"/>
  <c r="AI4828" i="2"/>
  <c r="AJ4828" i="2"/>
  <c r="AF4829" i="2"/>
  <c r="AK4829" i="2"/>
  <c r="AL4829" i="2" s="1"/>
  <c r="AG4829" i="2"/>
  <c r="AH4829" i="2"/>
  <c r="AI4829" i="2"/>
  <c r="AJ4829" i="2"/>
  <c r="AF4830" i="2"/>
  <c r="AK4830" i="2" s="1"/>
  <c r="AL4830" i="2" s="1"/>
  <c r="AG4830" i="2"/>
  <c r="AH4830" i="2"/>
  <c r="AI4830" i="2"/>
  <c r="AJ4830" i="2"/>
  <c r="AF4831" i="2"/>
  <c r="AK4831" i="2"/>
  <c r="AG4831" i="2"/>
  <c r="AH4831" i="2"/>
  <c r="AI4831" i="2"/>
  <c r="AJ4831" i="2"/>
  <c r="AF4832" i="2"/>
  <c r="AK4832" i="2" s="1"/>
  <c r="AG4832" i="2"/>
  <c r="AH4832" i="2"/>
  <c r="AI4832" i="2"/>
  <c r="AL4832" i="2" s="1"/>
  <c r="AJ4832" i="2"/>
  <c r="AF4833" i="2"/>
  <c r="AK4833" i="2"/>
  <c r="AG4833" i="2"/>
  <c r="AH4833" i="2"/>
  <c r="AL4833" i="2" s="1"/>
  <c r="AI4833" i="2"/>
  <c r="AJ4833" i="2"/>
  <c r="AF4834" i="2"/>
  <c r="AK4834" i="2" s="1"/>
  <c r="AG4834" i="2"/>
  <c r="AH4834" i="2"/>
  <c r="AI4834" i="2"/>
  <c r="AJ4834" i="2"/>
  <c r="AF4835" i="2"/>
  <c r="AK4835" i="2" s="1"/>
  <c r="AG4835" i="2"/>
  <c r="AH4835" i="2"/>
  <c r="AI4835" i="2"/>
  <c r="AJ4835" i="2"/>
  <c r="AL4835" i="2" s="1"/>
  <c r="AF4836" i="2"/>
  <c r="AK4836" i="2" s="1"/>
  <c r="AG4836" i="2"/>
  <c r="AH4836" i="2"/>
  <c r="AI4836" i="2"/>
  <c r="AJ4836" i="2"/>
  <c r="AF4837" i="2"/>
  <c r="AK4837" i="2"/>
  <c r="AG4837" i="2"/>
  <c r="AL4837" i="2" s="1"/>
  <c r="AH4837" i="2"/>
  <c r="AI4837" i="2"/>
  <c r="AJ4837" i="2"/>
  <c r="AF4838" i="2"/>
  <c r="AK4838" i="2"/>
  <c r="AG4838" i="2"/>
  <c r="AH4838" i="2"/>
  <c r="AL4838" i="2" s="1"/>
  <c r="AI4838" i="2"/>
  <c r="AJ4838" i="2"/>
  <c r="AF4839" i="2"/>
  <c r="AK4839" i="2" s="1"/>
  <c r="AG4839" i="2"/>
  <c r="AH4839" i="2"/>
  <c r="AL4839" i="2"/>
  <c r="AI4839" i="2"/>
  <c r="AJ4839" i="2"/>
  <c r="AF4840" i="2"/>
  <c r="AK4840" i="2" s="1"/>
  <c r="AG4840" i="2"/>
  <c r="AH4840" i="2"/>
  <c r="AI4840" i="2"/>
  <c r="AJ4840" i="2"/>
  <c r="AF4841" i="2"/>
  <c r="AK4841" i="2" s="1"/>
  <c r="AG4841" i="2"/>
  <c r="AH4841" i="2"/>
  <c r="AI4841" i="2"/>
  <c r="AJ4841" i="2"/>
  <c r="AF4842" i="2"/>
  <c r="AK4842" i="2"/>
  <c r="AG4842" i="2"/>
  <c r="AH4842" i="2"/>
  <c r="AI4842" i="2"/>
  <c r="AJ4842" i="2"/>
  <c r="AF4843" i="2"/>
  <c r="AK4843" i="2"/>
  <c r="AG4843" i="2"/>
  <c r="AH4843" i="2"/>
  <c r="AI4843" i="2"/>
  <c r="AJ4843" i="2"/>
  <c r="AF4844" i="2"/>
  <c r="AK4844" i="2"/>
  <c r="AG4844" i="2"/>
  <c r="AL4844" i="2"/>
  <c r="AH4844" i="2"/>
  <c r="AI4844" i="2"/>
  <c r="AJ4844" i="2"/>
  <c r="AF4845" i="2"/>
  <c r="AK4845" i="2" s="1"/>
  <c r="AG4845" i="2"/>
  <c r="AH4845" i="2"/>
  <c r="AI4845" i="2"/>
  <c r="AJ4845" i="2"/>
  <c r="AF4846" i="2"/>
  <c r="AK4846" i="2" s="1"/>
  <c r="AG4846" i="2"/>
  <c r="AH4846" i="2"/>
  <c r="AI4846" i="2"/>
  <c r="AJ4846" i="2"/>
  <c r="AL4846" i="2"/>
  <c r="AF4847" i="2"/>
  <c r="AK4847" i="2"/>
  <c r="AG4847" i="2"/>
  <c r="AH4847" i="2"/>
  <c r="AI4847" i="2"/>
  <c r="AJ4847" i="2"/>
  <c r="AF4848" i="2"/>
  <c r="AK4848" i="2" s="1"/>
  <c r="AG4848" i="2"/>
  <c r="AL4848" i="2" s="1"/>
  <c r="AH4848" i="2"/>
  <c r="AI4848" i="2"/>
  <c r="AJ4848" i="2"/>
  <c r="AF4849" i="2"/>
  <c r="AK4849" i="2"/>
  <c r="AG4849" i="2"/>
  <c r="AH4849" i="2"/>
  <c r="AL4849" i="2" s="1"/>
  <c r="AI4849" i="2"/>
  <c r="AJ4849" i="2"/>
  <c r="AF4850" i="2"/>
  <c r="AK4850" i="2" s="1"/>
  <c r="AG4850" i="2"/>
  <c r="AH4850" i="2"/>
  <c r="AI4850" i="2"/>
  <c r="AJ4850" i="2"/>
  <c r="AF4851" i="2"/>
  <c r="AK4851" i="2" s="1"/>
  <c r="AG4851" i="2"/>
  <c r="AH4851" i="2"/>
  <c r="AI4851" i="2"/>
  <c r="AJ4851" i="2"/>
  <c r="AF4852" i="2"/>
  <c r="AK4852" i="2" s="1"/>
  <c r="AG4852" i="2"/>
  <c r="AH4852" i="2"/>
  <c r="AI4852" i="2"/>
  <c r="AJ4852" i="2"/>
  <c r="AL4852" i="2"/>
  <c r="AF4853" i="2"/>
  <c r="AK4853" i="2"/>
  <c r="AG4853" i="2"/>
  <c r="AH4853" i="2"/>
  <c r="AI4853" i="2"/>
  <c r="AJ4853" i="2"/>
  <c r="AF4854" i="2"/>
  <c r="AK4854" i="2"/>
  <c r="AL4854" i="2" s="1"/>
  <c r="AG4854" i="2"/>
  <c r="AH4854" i="2"/>
  <c r="AI4854" i="2"/>
  <c r="AJ4854" i="2"/>
  <c r="AF4855" i="2"/>
  <c r="AK4855" i="2"/>
  <c r="AG4855" i="2"/>
  <c r="AL4855" i="2" s="1"/>
  <c r="AH4855" i="2"/>
  <c r="AI4855" i="2"/>
  <c r="AJ4855" i="2"/>
  <c r="AF4856" i="2"/>
  <c r="AK4856" i="2" s="1"/>
  <c r="AG4856" i="2"/>
  <c r="AH4856" i="2"/>
  <c r="AI4856" i="2"/>
  <c r="AJ4856" i="2"/>
  <c r="AF4857" i="2"/>
  <c r="AK4857" i="2" s="1"/>
  <c r="AG4857" i="2"/>
  <c r="AH4857" i="2"/>
  <c r="AI4857" i="2"/>
  <c r="AJ4857" i="2"/>
  <c r="AF4858" i="2"/>
  <c r="AK4858" i="2" s="1"/>
  <c r="AL4858" i="2" s="1"/>
  <c r="AG4858" i="2"/>
  <c r="AH4858" i="2"/>
  <c r="AI4858" i="2"/>
  <c r="AJ4858" i="2"/>
  <c r="AF4859" i="2"/>
  <c r="AK4859" i="2" s="1"/>
  <c r="AG4859" i="2"/>
  <c r="AH4859" i="2"/>
  <c r="AI4859" i="2"/>
  <c r="AJ4859" i="2"/>
  <c r="AF4860" i="2"/>
  <c r="AK4860" i="2" s="1"/>
  <c r="AL4860" i="2" s="1"/>
  <c r="AG4860" i="2"/>
  <c r="AH4860" i="2"/>
  <c r="AI4860" i="2"/>
  <c r="AJ4860" i="2"/>
  <c r="AF4861" i="2"/>
  <c r="AK4861" i="2" s="1"/>
  <c r="AG4861" i="2"/>
  <c r="AL4861" i="2" s="1"/>
  <c r="AH4861" i="2"/>
  <c r="AI4861" i="2"/>
  <c r="AJ4861" i="2"/>
  <c r="AF4862" i="2"/>
  <c r="AK4862" i="2"/>
  <c r="AG4862" i="2"/>
  <c r="AH4862" i="2"/>
  <c r="AL4862" i="2" s="1"/>
  <c r="AI4862" i="2"/>
  <c r="AJ4862" i="2"/>
  <c r="AF4863" i="2"/>
  <c r="AK4863" i="2" s="1"/>
  <c r="AG4863" i="2"/>
  <c r="AH4863" i="2"/>
  <c r="AL4863" i="2"/>
  <c r="AI4863" i="2"/>
  <c r="AJ4863" i="2"/>
  <c r="AF4864" i="2"/>
  <c r="AK4864" i="2" s="1"/>
  <c r="AG4864" i="2"/>
  <c r="AH4864" i="2"/>
  <c r="AI4864" i="2"/>
  <c r="AL4864" i="2" s="1"/>
  <c r="AJ4864" i="2"/>
  <c r="AF4865" i="2"/>
  <c r="AK4865" i="2"/>
  <c r="AG4865" i="2"/>
  <c r="AH4865" i="2"/>
  <c r="AI4865" i="2"/>
  <c r="AJ4865" i="2"/>
  <c r="AL4865" i="2"/>
  <c r="AF4866" i="2"/>
  <c r="AK4866" i="2" s="1"/>
  <c r="AG4866" i="2"/>
  <c r="AL4866" i="2" s="1"/>
  <c r="AH4866" i="2"/>
  <c r="AI4866" i="2"/>
  <c r="AJ4866" i="2"/>
  <c r="AF4867" i="2"/>
  <c r="AK4867" i="2"/>
  <c r="AG4867" i="2"/>
  <c r="AL4867" i="2" s="1"/>
  <c r="AH4867" i="2"/>
  <c r="AI4867" i="2"/>
  <c r="AJ4867" i="2"/>
  <c r="AF4868" i="2"/>
  <c r="AK4868" i="2"/>
  <c r="AG4868" i="2"/>
  <c r="AH4868" i="2"/>
  <c r="AI4868" i="2"/>
  <c r="AJ4868" i="2"/>
  <c r="AF4869" i="2"/>
  <c r="AK4869" i="2" s="1"/>
  <c r="AL4869" i="2" s="1"/>
  <c r="AG4869" i="2"/>
  <c r="AH4869" i="2"/>
  <c r="AI4869" i="2"/>
  <c r="AJ4869" i="2"/>
  <c r="AF4870" i="2"/>
  <c r="AK4870" i="2"/>
  <c r="AG4870" i="2"/>
  <c r="AH4870" i="2"/>
  <c r="AL4870" i="2"/>
  <c r="AI4870" i="2"/>
  <c r="AJ4870" i="2"/>
  <c r="AF4871" i="2"/>
  <c r="AK4871" i="2" s="1"/>
  <c r="AG4871" i="2"/>
  <c r="AH4871" i="2"/>
  <c r="AI4871" i="2"/>
  <c r="AL4871" i="2" s="1"/>
  <c r="AJ4871" i="2"/>
  <c r="AF4872" i="2"/>
  <c r="AK4872" i="2"/>
  <c r="AG4872" i="2"/>
  <c r="AH4872" i="2"/>
  <c r="AI4872" i="2"/>
  <c r="AJ4872" i="2"/>
  <c r="AF4873" i="2"/>
  <c r="AK4873" i="2" s="1"/>
  <c r="AL4873" i="2" s="1"/>
  <c r="AG4873" i="2"/>
  <c r="AH4873" i="2"/>
  <c r="AI4873" i="2"/>
  <c r="AJ4873" i="2"/>
  <c r="AF4874" i="2"/>
  <c r="AK4874" i="2"/>
  <c r="AG4874" i="2"/>
  <c r="AH4874" i="2"/>
  <c r="AI4874" i="2"/>
  <c r="AJ4874" i="2"/>
  <c r="AF4875" i="2"/>
  <c r="AK4875" i="2"/>
  <c r="AG4875" i="2"/>
  <c r="AH4875" i="2"/>
  <c r="AL4875" i="2" s="1"/>
  <c r="AI4875" i="2"/>
  <c r="AJ4875" i="2"/>
  <c r="AF4876" i="2"/>
  <c r="AK4876" i="2" s="1"/>
  <c r="AG4876" i="2"/>
  <c r="AH4876" i="2"/>
  <c r="AI4876" i="2"/>
  <c r="AL4876" i="2" s="1"/>
  <c r="AJ4876" i="2"/>
  <c r="AF4877" i="2"/>
  <c r="AG4877" i="2"/>
  <c r="AH4877" i="2"/>
  <c r="AI4877" i="2"/>
  <c r="AJ4877" i="2"/>
  <c r="AK4877" i="2"/>
  <c r="AF4878" i="2"/>
  <c r="AK4878" i="2" s="1"/>
  <c r="AG4878" i="2"/>
  <c r="AH4878" i="2"/>
  <c r="AI4878" i="2"/>
  <c r="AJ4878" i="2"/>
  <c r="AF4879" i="2"/>
  <c r="AK4879" i="2"/>
  <c r="AG4879" i="2"/>
  <c r="AH4879" i="2"/>
  <c r="AI4879" i="2"/>
  <c r="AJ4879" i="2"/>
  <c r="AF4880" i="2"/>
  <c r="AK4880" i="2"/>
  <c r="AG4880" i="2"/>
  <c r="AH4880" i="2"/>
  <c r="AL4880" i="2" s="1"/>
  <c r="AI4880" i="2"/>
  <c r="AJ4880" i="2"/>
  <c r="AF4881" i="2"/>
  <c r="AK4881" i="2" s="1"/>
  <c r="AG4881" i="2"/>
  <c r="AH4881" i="2"/>
  <c r="AI4881" i="2"/>
  <c r="AJ4881" i="2"/>
  <c r="AF4882" i="2"/>
  <c r="AK4882" i="2" s="1"/>
  <c r="AG4882" i="2"/>
  <c r="AH4882" i="2"/>
  <c r="AI4882" i="2"/>
  <c r="AJ4882" i="2"/>
  <c r="AF4883" i="2"/>
  <c r="AK4883" i="2"/>
  <c r="AG4883" i="2"/>
  <c r="AH4883" i="2"/>
  <c r="AI4883" i="2"/>
  <c r="AJ4883" i="2"/>
  <c r="AL4883" i="2" s="1"/>
  <c r="AF4884" i="2"/>
  <c r="AK4884" i="2" s="1"/>
  <c r="AG4884" i="2"/>
  <c r="AH4884" i="2"/>
  <c r="AI4884" i="2"/>
  <c r="AJ4884" i="2"/>
  <c r="AF4885" i="2"/>
  <c r="AK4885" i="2"/>
  <c r="AG4885" i="2"/>
  <c r="AL4885" i="2" s="1"/>
  <c r="AH4885" i="2"/>
  <c r="AI4885" i="2"/>
  <c r="AJ4885" i="2"/>
  <c r="AF4886" i="2"/>
  <c r="AK4886" i="2"/>
  <c r="AG4886" i="2"/>
  <c r="AH4886" i="2"/>
  <c r="AL4886" i="2" s="1"/>
  <c r="AI4886" i="2"/>
  <c r="AJ4886" i="2"/>
  <c r="AF4887" i="2"/>
  <c r="AK4887" i="2" s="1"/>
  <c r="AG4887" i="2"/>
  <c r="AH4887" i="2"/>
  <c r="AI4887" i="2"/>
  <c r="AJ4887" i="2"/>
  <c r="AF4888" i="2"/>
  <c r="AK4888" i="2" s="1"/>
  <c r="AG4888" i="2"/>
  <c r="AH4888" i="2"/>
  <c r="AI4888" i="2"/>
  <c r="AJ4888" i="2"/>
  <c r="AF4889" i="2"/>
  <c r="AK4889" i="2"/>
  <c r="AG4889" i="2"/>
  <c r="AH4889" i="2"/>
  <c r="AI4889" i="2"/>
  <c r="AJ4889" i="2"/>
  <c r="AF4890" i="2"/>
  <c r="AK4890" i="2" s="1"/>
  <c r="AG4890" i="2"/>
  <c r="AH4890" i="2"/>
  <c r="AI4890" i="2"/>
  <c r="AJ4890" i="2"/>
  <c r="AF4891" i="2"/>
  <c r="AK4891" i="2"/>
  <c r="AL4891" i="2"/>
  <c r="AG4891" i="2"/>
  <c r="AH4891" i="2"/>
  <c r="AI4891" i="2"/>
  <c r="AJ4891" i="2"/>
  <c r="AF4892" i="2"/>
  <c r="AK4892" i="2" s="1"/>
  <c r="AG4892" i="2"/>
  <c r="AL4892" i="2" s="1"/>
  <c r="AH4892" i="2"/>
  <c r="AI4892" i="2"/>
  <c r="AJ4892" i="2"/>
  <c r="AF4893" i="2"/>
  <c r="AK4893" i="2" s="1"/>
  <c r="AG4893" i="2"/>
  <c r="AH4893" i="2"/>
  <c r="AI4893" i="2"/>
  <c r="AJ4893" i="2"/>
  <c r="AF4894" i="2"/>
  <c r="AK4894" i="2" s="1"/>
  <c r="AG4894" i="2"/>
  <c r="AH4894" i="2"/>
  <c r="AI4894" i="2"/>
  <c r="AJ4894" i="2"/>
  <c r="AF4895" i="2"/>
  <c r="AK4895" i="2" s="1"/>
  <c r="AG4895" i="2"/>
  <c r="AH4895" i="2"/>
  <c r="AI4895" i="2"/>
  <c r="AJ4895" i="2"/>
  <c r="AF4896" i="2"/>
  <c r="AK4896" i="2"/>
  <c r="AG4896" i="2"/>
  <c r="AH4896" i="2"/>
  <c r="AI4896" i="2"/>
  <c r="AJ4896" i="2"/>
  <c r="AF4897" i="2"/>
  <c r="AK4897" i="2"/>
  <c r="AG4897" i="2"/>
  <c r="AH4897" i="2"/>
  <c r="AL4897" i="2" s="1"/>
  <c r="AI4897" i="2"/>
  <c r="AJ4897" i="2"/>
  <c r="AF4898" i="2"/>
  <c r="AK4898" i="2" s="1"/>
  <c r="AG4898" i="2"/>
  <c r="AH4898" i="2"/>
  <c r="AI4898" i="2"/>
  <c r="AJ4898" i="2"/>
  <c r="AF4899" i="2"/>
  <c r="AK4899" i="2" s="1"/>
  <c r="AG4899" i="2"/>
  <c r="AH4899" i="2"/>
  <c r="AI4899" i="2"/>
  <c r="AJ4899" i="2"/>
  <c r="AL4899" i="2" s="1"/>
  <c r="AF4900" i="2"/>
  <c r="AK4900" i="2"/>
  <c r="AG4900" i="2"/>
  <c r="AH4900" i="2"/>
  <c r="AI4900" i="2"/>
  <c r="AJ4900" i="2"/>
  <c r="AF4901" i="2"/>
  <c r="AK4901" i="2"/>
  <c r="AG4901" i="2"/>
  <c r="AH4901" i="2"/>
  <c r="AI4901" i="2"/>
  <c r="AJ4901" i="2"/>
  <c r="AF4902" i="2"/>
  <c r="AK4902" i="2"/>
  <c r="AG4902" i="2"/>
  <c r="AH4902" i="2"/>
  <c r="AI4902" i="2"/>
  <c r="AJ4902" i="2"/>
  <c r="AF4903" i="2"/>
  <c r="AK4903" i="2" s="1"/>
  <c r="AG4903" i="2"/>
  <c r="AH4903" i="2"/>
  <c r="AI4903" i="2"/>
  <c r="AJ4903" i="2"/>
  <c r="AF4904" i="2"/>
  <c r="AK4904" i="2" s="1"/>
  <c r="AG4904" i="2"/>
  <c r="AH4904" i="2"/>
  <c r="AI4904" i="2"/>
  <c r="AJ4904" i="2"/>
  <c r="AF4905" i="2"/>
  <c r="AK4905" i="2"/>
  <c r="AL4905" i="2" s="1"/>
  <c r="AG4905" i="2"/>
  <c r="AH4905" i="2"/>
  <c r="AI4905" i="2"/>
  <c r="AJ4905" i="2"/>
  <c r="AF4906" i="2"/>
  <c r="AK4906" i="2"/>
  <c r="AG4906" i="2"/>
  <c r="AH4906" i="2"/>
  <c r="AL4906" i="2" s="1"/>
  <c r="AI4906" i="2"/>
  <c r="AJ4906" i="2"/>
  <c r="AF4907" i="2"/>
  <c r="AK4907" i="2" s="1"/>
  <c r="AG4907" i="2"/>
  <c r="AH4907" i="2"/>
  <c r="AI4907" i="2"/>
  <c r="AJ4907" i="2"/>
  <c r="AF4908" i="2"/>
  <c r="AK4908" i="2"/>
  <c r="AG4908" i="2"/>
  <c r="AH4908" i="2"/>
  <c r="AI4908" i="2"/>
  <c r="AJ4908" i="2"/>
  <c r="AF4909" i="2"/>
  <c r="AK4909" i="2" s="1"/>
  <c r="AG4909" i="2"/>
  <c r="AH4909" i="2"/>
  <c r="AI4909" i="2"/>
  <c r="AJ4909" i="2"/>
  <c r="AF4910" i="2"/>
  <c r="AK4910" i="2"/>
  <c r="AG4910" i="2"/>
  <c r="AH4910" i="2"/>
  <c r="AI4910" i="2"/>
  <c r="AJ4910" i="2"/>
  <c r="AF4911" i="2"/>
  <c r="AK4911" i="2"/>
  <c r="AG4911" i="2"/>
  <c r="AH4911" i="2"/>
  <c r="AI4911" i="2"/>
  <c r="AJ4911" i="2"/>
  <c r="AF4912" i="2"/>
  <c r="AK4912" i="2" s="1"/>
  <c r="AG4912" i="2"/>
  <c r="AL4912" i="2" s="1"/>
  <c r="AH4912" i="2"/>
  <c r="AI4912" i="2"/>
  <c r="AJ4912" i="2"/>
  <c r="AF4913" i="2"/>
  <c r="AK4913" i="2"/>
  <c r="AG4913" i="2"/>
  <c r="AH4913" i="2"/>
  <c r="AI4913" i="2"/>
  <c r="AL4913" i="2" s="1"/>
  <c r="AJ4913" i="2"/>
  <c r="AF4914" i="2"/>
  <c r="AK4914" i="2"/>
  <c r="AG4914" i="2"/>
  <c r="AH4914" i="2"/>
  <c r="AI4914" i="2"/>
  <c r="AJ4914" i="2"/>
  <c r="AF4915" i="2"/>
  <c r="AK4915" i="2" s="1"/>
  <c r="AG4915" i="2"/>
  <c r="AH4915" i="2"/>
  <c r="AI4915" i="2"/>
  <c r="AJ4915" i="2"/>
  <c r="AF4916" i="2"/>
  <c r="AK4916" i="2"/>
  <c r="AG4916" i="2"/>
  <c r="AL4916" i="2" s="1"/>
  <c r="AH4916" i="2"/>
  <c r="AI4916" i="2"/>
  <c r="AJ4916" i="2"/>
  <c r="AF4917" i="2"/>
  <c r="AK4917" i="2"/>
  <c r="AG4917" i="2"/>
  <c r="AH4917" i="2"/>
  <c r="AI4917" i="2"/>
  <c r="AL4917" i="2" s="1"/>
  <c r="AJ4917" i="2"/>
  <c r="AF4918" i="2"/>
  <c r="AK4918" i="2" s="1"/>
  <c r="AG4918" i="2"/>
  <c r="AH4918" i="2"/>
  <c r="AI4918" i="2"/>
  <c r="AJ4918" i="2"/>
  <c r="AF4919" i="2"/>
  <c r="AK4919" i="2"/>
  <c r="AG4919" i="2"/>
  <c r="AH4919" i="2"/>
  <c r="AI4919" i="2"/>
  <c r="AJ4919" i="2"/>
  <c r="AF4920" i="2"/>
  <c r="AK4920" i="2" s="1"/>
  <c r="AG4920" i="2"/>
  <c r="AH4920" i="2"/>
  <c r="AI4920" i="2"/>
  <c r="AJ4920" i="2"/>
  <c r="AF4921" i="2"/>
  <c r="AK4921" i="2"/>
  <c r="AG4921" i="2"/>
  <c r="AH4921" i="2"/>
  <c r="AI4921" i="2"/>
  <c r="AJ4921" i="2"/>
  <c r="AF4922" i="2"/>
  <c r="AK4922" i="2"/>
  <c r="AG4922" i="2"/>
  <c r="AH4922" i="2"/>
  <c r="AL4922" i="2" s="1"/>
  <c r="AI4922" i="2"/>
  <c r="AJ4922" i="2"/>
  <c r="AF4923" i="2"/>
  <c r="AK4923" i="2"/>
  <c r="AG4923" i="2"/>
  <c r="AH4923" i="2"/>
  <c r="AI4923" i="2"/>
  <c r="AJ4923" i="2"/>
  <c r="AF4924" i="2"/>
  <c r="AK4924" i="2"/>
  <c r="AG4924" i="2"/>
  <c r="AH4924" i="2"/>
  <c r="AI4924" i="2"/>
  <c r="AJ4924" i="2"/>
  <c r="AL4924" i="2" s="1"/>
  <c r="AF4925" i="2"/>
  <c r="AK4925" i="2" s="1"/>
  <c r="AG4925" i="2"/>
  <c r="AH4925" i="2"/>
  <c r="AI4925" i="2"/>
  <c r="AJ4925" i="2"/>
  <c r="AF4926" i="2"/>
  <c r="AK4926" i="2"/>
  <c r="AG4926" i="2"/>
  <c r="AH4926" i="2"/>
  <c r="AI4926" i="2"/>
  <c r="AJ4926" i="2"/>
  <c r="AF4927" i="2"/>
  <c r="AK4927" i="2"/>
  <c r="AG4927" i="2"/>
  <c r="AL4927" i="2" s="1"/>
  <c r="AH4927" i="2"/>
  <c r="AI4927" i="2"/>
  <c r="AJ4927" i="2"/>
  <c r="AF4928" i="2"/>
  <c r="AK4928" i="2"/>
  <c r="AG4928" i="2"/>
  <c r="AH4928" i="2"/>
  <c r="AI4928" i="2"/>
  <c r="AJ4928" i="2"/>
  <c r="AF4929" i="2"/>
  <c r="AK4929" i="2" s="1"/>
  <c r="AG4929" i="2"/>
  <c r="AH4929" i="2"/>
  <c r="AI4929" i="2"/>
  <c r="AJ4929" i="2"/>
  <c r="AF4930" i="2"/>
  <c r="AK4930" i="2" s="1"/>
  <c r="AG4930" i="2"/>
  <c r="AL4930" i="2" s="1"/>
  <c r="AH4930" i="2"/>
  <c r="AI4930" i="2"/>
  <c r="AJ4930" i="2"/>
  <c r="AF4931" i="2"/>
  <c r="AK4931" i="2"/>
  <c r="AG4931" i="2"/>
  <c r="AH4931" i="2"/>
  <c r="AI4931" i="2"/>
  <c r="AJ4931" i="2"/>
  <c r="AF4932" i="2"/>
  <c r="AK4932" i="2" s="1"/>
  <c r="AG4932" i="2"/>
  <c r="AH4932" i="2"/>
  <c r="AI4932" i="2"/>
  <c r="AL4932" i="2" s="1"/>
  <c r="AJ4932" i="2"/>
  <c r="AF4933" i="2"/>
  <c r="AK4933" i="2"/>
  <c r="AG4933" i="2"/>
  <c r="AH4933" i="2"/>
  <c r="AI4933" i="2"/>
  <c r="AJ4933" i="2"/>
  <c r="AF4934" i="2"/>
  <c r="AK4934" i="2" s="1"/>
  <c r="AG4934" i="2"/>
  <c r="AH4934" i="2"/>
  <c r="AI4934" i="2"/>
  <c r="AJ4934" i="2"/>
  <c r="AF4935" i="2"/>
  <c r="AK4935" i="2"/>
  <c r="AG4935" i="2"/>
  <c r="AH4935" i="2"/>
  <c r="AI4935" i="2"/>
  <c r="AJ4935" i="2"/>
  <c r="AF4936" i="2"/>
  <c r="AK4936" i="2"/>
  <c r="AG4936" i="2"/>
  <c r="AH4936" i="2"/>
  <c r="AI4936" i="2"/>
  <c r="AJ4936" i="2"/>
  <c r="AF4937" i="2"/>
  <c r="AK4937" i="2" s="1"/>
  <c r="AG4937" i="2"/>
  <c r="AH4937" i="2"/>
  <c r="AI4937" i="2"/>
  <c r="AJ4937" i="2"/>
  <c r="AF4938" i="2"/>
  <c r="AK4938" i="2" s="1"/>
  <c r="AG4938" i="2"/>
  <c r="AH4938" i="2"/>
  <c r="AI4938" i="2"/>
  <c r="AJ4938" i="2"/>
  <c r="AL4938" i="2" s="1"/>
  <c r="AF4939" i="2"/>
  <c r="AK4939" i="2"/>
  <c r="AG4939" i="2"/>
  <c r="AH4939" i="2"/>
  <c r="AI4939" i="2"/>
  <c r="AJ4939" i="2"/>
  <c r="AF4940" i="2"/>
  <c r="AK4940" i="2"/>
  <c r="AG4940" i="2"/>
  <c r="AH4940" i="2"/>
  <c r="AI4940" i="2"/>
  <c r="AJ4940" i="2"/>
  <c r="AF4941" i="2"/>
  <c r="AK4941" i="2"/>
  <c r="AG4941" i="2"/>
  <c r="AH4941" i="2"/>
  <c r="AI4941" i="2"/>
  <c r="AJ4941" i="2"/>
  <c r="AF4942" i="2"/>
  <c r="AK4942" i="2" s="1"/>
  <c r="AG4942" i="2"/>
  <c r="AL4942" i="2"/>
  <c r="AH4942" i="2"/>
  <c r="AI4942" i="2"/>
  <c r="AJ4942" i="2"/>
  <c r="AF4943" i="2"/>
  <c r="AK4943" i="2"/>
  <c r="AG4943" i="2"/>
  <c r="AH4943" i="2"/>
  <c r="AI4943" i="2"/>
  <c r="AJ4943" i="2"/>
  <c r="AF4944" i="2"/>
  <c r="AK4944" i="2" s="1"/>
  <c r="AG4944" i="2"/>
  <c r="AH4944" i="2"/>
  <c r="AI4944" i="2"/>
  <c r="AJ4944" i="2"/>
  <c r="AF4945" i="2"/>
  <c r="AK4945" i="2" s="1"/>
  <c r="AG4945" i="2"/>
  <c r="AL4945" i="2" s="1"/>
  <c r="AH4945" i="2"/>
  <c r="AI4945" i="2"/>
  <c r="AJ4945" i="2"/>
  <c r="AF4946" i="2"/>
  <c r="AK4946" i="2"/>
  <c r="AL4946" i="2" s="1"/>
  <c r="AG4946" i="2"/>
  <c r="AH4946" i="2"/>
  <c r="AI4946" i="2"/>
  <c r="AJ4946" i="2"/>
  <c r="AF4947" i="2"/>
  <c r="AK4947" i="2"/>
  <c r="AG4947" i="2"/>
  <c r="AL4947" i="2" s="1"/>
  <c r="AH4947" i="2"/>
  <c r="AI4947" i="2"/>
  <c r="AJ4947" i="2"/>
  <c r="AF4948" i="2"/>
  <c r="AK4948" i="2" s="1"/>
  <c r="AG4948" i="2"/>
  <c r="AL4948" i="2" s="1"/>
  <c r="AH4948" i="2"/>
  <c r="AI4948" i="2"/>
  <c r="AJ4948" i="2"/>
  <c r="AF4949" i="2"/>
  <c r="AK4949" i="2" s="1"/>
  <c r="AG4949" i="2"/>
  <c r="AH4949" i="2"/>
  <c r="AI4949" i="2"/>
  <c r="AJ4949" i="2"/>
  <c r="AL4949" i="2" s="1"/>
  <c r="AF4950" i="2"/>
  <c r="AK4950" i="2"/>
  <c r="AG4950" i="2"/>
  <c r="AH4950" i="2"/>
  <c r="AI4950" i="2"/>
  <c r="AJ4950" i="2"/>
  <c r="AF4951" i="2"/>
  <c r="AK4951" i="2" s="1"/>
  <c r="AG4951" i="2"/>
  <c r="AL4951" i="2" s="1"/>
  <c r="AH4951" i="2"/>
  <c r="AI4951" i="2"/>
  <c r="AJ4951" i="2"/>
  <c r="AF4952" i="2"/>
  <c r="AG4952" i="2"/>
  <c r="AH4952" i="2"/>
  <c r="AI4952" i="2"/>
  <c r="AJ4952" i="2"/>
  <c r="AK4952" i="2"/>
  <c r="AF4953" i="2"/>
  <c r="AK4953" i="2"/>
  <c r="AG4953" i="2"/>
  <c r="AH4953" i="2"/>
  <c r="AI4953" i="2"/>
  <c r="AJ4953" i="2"/>
  <c r="AF4954" i="2"/>
  <c r="AK4954" i="2" s="1"/>
  <c r="AL4954" i="2" s="1"/>
  <c r="AG4954" i="2"/>
  <c r="AH4954" i="2"/>
  <c r="AI4954" i="2"/>
  <c r="AJ4954" i="2"/>
  <c r="AF4955" i="2"/>
  <c r="AK4955" i="2"/>
  <c r="AG4955" i="2"/>
  <c r="AH4955" i="2"/>
  <c r="AI4955" i="2"/>
  <c r="AJ4955" i="2"/>
  <c r="AF4956" i="2"/>
  <c r="AK4956" i="2"/>
  <c r="AG4956" i="2"/>
  <c r="AH4956" i="2"/>
  <c r="AI4956" i="2"/>
  <c r="AJ4956" i="2"/>
  <c r="AF4957" i="2"/>
  <c r="AK4957" i="2" s="1"/>
  <c r="AG4957" i="2"/>
  <c r="AH4957" i="2"/>
  <c r="AI4957" i="2"/>
  <c r="AL4957" i="2" s="1"/>
  <c r="AJ4957" i="2"/>
  <c r="AF4958" i="2"/>
  <c r="AK4958" i="2"/>
  <c r="AG4958" i="2"/>
  <c r="AH4958" i="2"/>
  <c r="AI4958" i="2"/>
  <c r="AJ4958" i="2"/>
  <c r="AF4959" i="2"/>
  <c r="AK4959" i="2" s="1"/>
  <c r="AG4959" i="2"/>
  <c r="AH4959" i="2"/>
  <c r="AI4959" i="2"/>
  <c r="AJ4959" i="2"/>
  <c r="AF4960" i="2"/>
  <c r="AK4960" i="2" s="1"/>
  <c r="AG4960" i="2"/>
  <c r="AH4960" i="2"/>
  <c r="AI4960" i="2"/>
  <c r="AJ4960" i="2"/>
  <c r="AF4961" i="2"/>
  <c r="AK4961" i="2"/>
  <c r="AG4961" i="2"/>
  <c r="AH4961" i="2"/>
  <c r="AI4961" i="2"/>
  <c r="AJ4961" i="2"/>
  <c r="AF4962" i="2"/>
  <c r="AK4962" i="2"/>
  <c r="AG4962" i="2"/>
  <c r="AH4962" i="2"/>
  <c r="AL4962" i="2"/>
  <c r="AI4962" i="2"/>
  <c r="AJ4962" i="2"/>
  <c r="AF4963" i="2"/>
  <c r="AK4963" i="2"/>
  <c r="AG4963" i="2"/>
  <c r="AH4963" i="2"/>
  <c r="AI4963" i="2"/>
  <c r="AJ4963" i="2"/>
  <c r="AF4964" i="2"/>
  <c r="AK4964" i="2" s="1"/>
  <c r="AG4964" i="2"/>
  <c r="AH4964" i="2"/>
  <c r="AI4964" i="2"/>
  <c r="AJ4964" i="2"/>
  <c r="AF4965" i="2"/>
  <c r="AK4965" i="2" s="1"/>
  <c r="AG4965" i="2"/>
  <c r="AH4965" i="2"/>
  <c r="AI4965" i="2"/>
  <c r="AJ4965" i="2"/>
  <c r="AF4966" i="2"/>
  <c r="AK4966" i="2"/>
  <c r="AG4966" i="2"/>
  <c r="AH4966" i="2"/>
  <c r="AL4966" i="2" s="1"/>
  <c r="AI4966" i="2"/>
  <c r="AJ4966" i="2"/>
  <c r="AF4967" i="2"/>
  <c r="AK4967" i="2" s="1"/>
  <c r="AG4967" i="2"/>
  <c r="AL4967" i="2" s="1"/>
  <c r="AH4967" i="2"/>
  <c r="AI4967" i="2"/>
  <c r="AJ4967" i="2"/>
  <c r="AF4968" i="2"/>
  <c r="AK4968" i="2"/>
  <c r="AG4968" i="2"/>
  <c r="AH4968" i="2"/>
  <c r="AL4968" i="2" s="1"/>
  <c r="AI4968" i="2"/>
  <c r="AJ4968" i="2"/>
  <c r="AF4969" i="2"/>
  <c r="AK4969" i="2" s="1"/>
  <c r="AL4969" i="2" s="1"/>
  <c r="AG4969" i="2"/>
  <c r="AH4969" i="2"/>
  <c r="AI4969" i="2"/>
  <c r="AJ4969" i="2"/>
  <c r="AF4970" i="2"/>
  <c r="AK4970" i="2"/>
  <c r="AG4970" i="2"/>
  <c r="AH4970" i="2"/>
  <c r="AI4970" i="2"/>
  <c r="AJ4970" i="2"/>
  <c r="AF4971" i="2"/>
  <c r="AK4971" i="2" s="1"/>
  <c r="AG4971" i="2"/>
  <c r="AL4971" i="2" s="1"/>
  <c r="AH4971" i="2"/>
  <c r="AI4971" i="2"/>
  <c r="AJ4971" i="2"/>
  <c r="AF4972" i="2"/>
  <c r="AK4972" i="2" s="1"/>
  <c r="AG4972" i="2"/>
  <c r="AH4972" i="2"/>
  <c r="AI4972" i="2"/>
  <c r="AJ4972" i="2"/>
  <c r="AF4973" i="2"/>
  <c r="AK4973" i="2"/>
  <c r="AG4973" i="2"/>
  <c r="AL4973" i="2" s="1"/>
  <c r="AH4973" i="2"/>
  <c r="AI4973" i="2"/>
  <c r="AJ4973" i="2"/>
  <c r="AF4974" i="2"/>
  <c r="AK4974" i="2"/>
  <c r="AG4974" i="2"/>
  <c r="AH4974" i="2"/>
  <c r="AI4974" i="2"/>
  <c r="AL4974" i="2" s="1"/>
  <c r="AJ4974" i="2"/>
  <c r="AF4975" i="2"/>
  <c r="AK4975" i="2" s="1"/>
  <c r="AG4975" i="2"/>
  <c r="AH4975" i="2"/>
  <c r="AI4975" i="2"/>
  <c r="AJ4975" i="2"/>
  <c r="AF4976" i="2"/>
  <c r="AK4976" i="2"/>
  <c r="AG4976" i="2"/>
  <c r="AH4976" i="2"/>
  <c r="AI4976" i="2"/>
  <c r="AJ4976" i="2"/>
  <c r="AF4977" i="2"/>
  <c r="AK4977" i="2" s="1"/>
  <c r="AL4977" i="2" s="1"/>
  <c r="AG4977" i="2"/>
  <c r="AH4977" i="2"/>
  <c r="AI4977" i="2"/>
  <c r="AJ4977" i="2"/>
  <c r="AF4978" i="2"/>
  <c r="AK4978" i="2"/>
  <c r="AG4978" i="2"/>
  <c r="AH4978" i="2"/>
  <c r="AL4978" i="2" s="1"/>
  <c r="AI4978" i="2"/>
  <c r="AJ4978" i="2"/>
  <c r="AF4979" i="2"/>
  <c r="AK4979" i="2" s="1"/>
  <c r="AG4979" i="2"/>
  <c r="AH4979" i="2"/>
  <c r="AI4979" i="2"/>
  <c r="AJ4979" i="2"/>
  <c r="AF4980" i="2"/>
  <c r="AK4980" i="2" s="1"/>
  <c r="AL4980" i="2" s="1"/>
  <c r="AG4980" i="2"/>
  <c r="AH4980" i="2"/>
  <c r="AI4980" i="2"/>
  <c r="AJ4980" i="2"/>
  <c r="AF4981" i="2"/>
  <c r="AK4981" i="2"/>
  <c r="AG4981" i="2"/>
  <c r="AH4981" i="2"/>
  <c r="AI4981" i="2"/>
  <c r="AJ4981" i="2"/>
  <c r="AF4982" i="2"/>
  <c r="AK4982" i="2"/>
  <c r="AG4982" i="2"/>
  <c r="AL4982" i="2" s="1"/>
  <c r="AH4982" i="2"/>
  <c r="AI4982" i="2"/>
  <c r="AJ4982" i="2"/>
  <c r="AF4983" i="2"/>
  <c r="AK4983" i="2"/>
  <c r="AG4983" i="2"/>
  <c r="AH4983" i="2"/>
  <c r="AI4983" i="2"/>
  <c r="AJ4983" i="2"/>
  <c r="AF4984" i="2"/>
  <c r="AK4984" i="2" s="1"/>
  <c r="AG4984" i="2"/>
  <c r="AL4984" i="2" s="1"/>
  <c r="AH4984" i="2"/>
  <c r="AI4984" i="2"/>
  <c r="AJ4984" i="2"/>
  <c r="AF4985" i="2"/>
  <c r="AK4985" i="2"/>
  <c r="AG4985" i="2"/>
  <c r="AH4985" i="2"/>
  <c r="AL4985" i="2" s="1"/>
  <c r="AI4985" i="2"/>
  <c r="AJ4985" i="2"/>
  <c r="AF4986" i="2"/>
  <c r="AK4986" i="2" s="1"/>
  <c r="AG4986" i="2"/>
  <c r="AH4986" i="2"/>
  <c r="AI4986" i="2"/>
  <c r="AJ4986" i="2"/>
  <c r="AL4986" i="2" s="1"/>
  <c r="AF4987" i="2"/>
  <c r="AK4987" i="2"/>
  <c r="AL4987" i="2" s="1"/>
  <c r="AG4987" i="2"/>
  <c r="AH4987" i="2"/>
  <c r="AI4987" i="2"/>
  <c r="AJ4987" i="2"/>
  <c r="AF4988" i="2"/>
  <c r="AK4988" i="2" s="1"/>
  <c r="AG4988" i="2"/>
  <c r="AH4988" i="2"/>
  <c r="AI4988" i="2"/>
  <c r="AJ4988" i="2"/>
  <c r="AF4989" i="2"/>
  <c r="AK4989" i="2" s="1"/>
  <c r="AG4989" i="2"/>
  <c r="AH4989" i="2"/>
  <c r="AL4989" i="2" s="1"/>
  <c r="AI4989" i="2"/>
  <c r="AJ4989" i="2"/>
  <c r="AF4990" i="2"/>
  <c r="AK4990" i="2" s="1"/>
  <c r="AG4990" i="2"/>
  <c r="AH4990" i="2"/>
  <c r="AI4990" i="2"/>
  <c r="AJ4990" i="2"/>
  <c r="AF4991" i="2"/>
  <c r="AK4991" i="2"/>
  <c r="AG4991" i="2"/>
  <c r="AL4991" i="2" s="1"/>
  <c r="AH4991" i="2"/>
  <c r="AI4991" i="2"/>
  <c r="AJ4991" i="2"/>
  <c r="AF4992" i="2"/>
  <c r="AK4992" i="2" s="1"/>
  <c r="AG4992" i="2"/>
  <c r="AH4992" i="2"/>
  <c r="AI4992" i="2"/>
  <c r="AJ4992" i="2"/>
  <c r="AF4993" i="2"/>
  <c r="AK4993" i="2"/>
  <c r="AG4993" i="2"/>
  <c r="AH4993" i="2"/>
  <c r="AI4993" i="2"/>
  <c r="AJ4993" i="2"/>
  <c r="AF4994" i="2"/>
  <c r="AK4994" i="2" s="1"/>
  <c r="AG4994" i="2"/>
  <c r="AH4994" i="2"/>
  <c r="AI4994" i="2"/>
  <c r="AJ4994" i="2"/>
  <c r="AF4995" i="2"/>
  <c r="AK4995" i="2"/>
  <c r="AL4995" i="2"/>
  <c r="AG4995" i="2"/>
  <c r="AH4995" i="2"/>
  <c r="AI4995" i="2"/>
  <c r="AJ4995" i="2"/>
  <c r="AF4996" i="2"/>
  <c r="AK4996" i="2" s="1"/>
  <c r="AL4996" i="2" s="1"/>
  <c r="AG4996" i="2"/>
  <c r="AH4996" i="2"/>
  <c r="AI4996" i="2"/>
  <c r="AJ4996" i="2"/>
  <c r="AF4997" i="2"/>
  <c r="AK4997" i="2"/>
  <c r="AG4997" i="2"/>
  <c r="AH4997" i="2"/>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27" i="2"/>
  <c r="AL3507" i="2"/>
  <c r="AL3251" i="2"/>
  <c r="AL3544" i="2"/>
  <c r="AL3315" i="2"/>
  <c r="AL3737" i="2"/>
  <c r="AL3722" i="2"/>
  <c r="AL3705" i="2"/>
  <c r="AL3634" i="2"/>
  <c r="AL3557" i="2"/>
  <c r="AL3426" i="2"/>
  <c r="AL2072" i="2"/>
  <c r="AL3602" i="2"/>
  <c r="AL3664" i="2"/>
  <c r="AL3651" i="2"/>
  <c r="AL3632" i="2"/>
  <c r="AL3600" i="2"/>
  <c r="AL3587" i="2"/>
  <c r="AL3536" i="2"/>
  <c r="AL3512" i="2"/>
  <c r="AL3459" i="2"/>
  <c r="AL3448" i="2"/>
  <c r="AL3395" i="2"/>
  <c r="AL3384" i="2"/>
  <c r="AL3331" i="2"/>
  <c r="AL3267" i="2"/>
  <c r="AL3256" i="2"/>
  <c r="AL3203" i="2"/>
  <c r="AL3192" i="2"/>
  <c r="AL3639" i="2"/>
  <c r="AL3607" i="2"/>
  <c r="AL3575" i="2"/>
  <c r="AL3543" i="2"/>
  <c r="AL3495" i="2"/>
  <c r="AL3483" i="2"/>
  <c r="AL3466" i="2"/>
  <c r="AL3431" i="2"/>
  <c r="AL3419" i="2"/>
  <c r="AL3408" i="2"/>
  <c r="AL3402" i="2"/>
  <c r="AL3367" i="2"/>
  <c r="AL3338" i="2"/>
  <c r="AL3303" i="2"/>
  <c r="AL3291" i="2"/>
  <c r="AL3280" i="2"/>
  <c r="AL3274" i="2"/>
  <c r="AL3239" i="2"/>
  <c r="AL3227" i="2"/>
  <c r="AL3216" i="2"/>
  <c r="AL3210" i="2"/>
  <c r="AL3170" i="2"/>
  <c r="AL2346" i="2"/>
  <c r="AL3520" i="2"/>
  <c r="AL3351" i="2"/>
  <c r="AL3287" i="2"/>
  <c r="AL3275" i="2"/>
  <c r="AL3264" i="2"/>
  <c r="AL3200" i="2"/>
  <c r="AL3159" i="2"/>
  <c r="AL3135" i="2"/>
  <c r="AL3071" i="2"/>
  <c r="AL3047" i="2"/>
  <c r="AL3023" i="2"/>
  <c r="AL3007" i="2"/>
  <c r="AL2999" i="2"/>
  <c r="AL2967" i="2"/>
  <c r="AL2943" i="2"/>
  <c r="AL2919" i="2"/>
  <c r="AL2911" i="2"/>
  <c r="AL2887" i="2"/>
  <c r="AL2879" i="2"/>
  <c r="AL2839" i="2"/>
  <c r="AL2823" i="2"/>
  <c r="AL2815" i="2"/>
  <c r="AL3693" i="2"/>
  <c r="AL3674" i="2"/>
  <c r="AL3667" i="2"/>
  <c r="AL3648" i="2"/>
  <c r="AL3635" i="2"/>
  <c r="AL3603" i="2"/>
  <c r="AL3584" i="2"/>
  <c r="AL3539" i="2"/>
  <c r="AL3503" i="2"/>
  <c r="AL3491" i="2"/>
  <c r="AL3375" i="2"/>
  <c r="AL3311" i="2"/>
  <c r="AL3299" i="2"/>
  <c r="AL3288" i="2"/>
  <c r="AL3247" i="2"/>
  <c r="AL3235" i="2"/>
  <c r="AL3224" i="2"/>
  <c r="AL3183" i="2"/>
  <c r="AL3167" i="2"/>
  <c r="AL3152" i="2"/>
  <c r="AL3144" i="2"/>
  <c r="AL3136" i="2"/>
  <c r="AL3128" i="2"/>
  <c r="AL3120" i="2"/>
  <c r="AL3104"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24" i="2"/>
  <c r="AL2408" i="2"/>
  <c r="AL2400" i="2"/>
  <c r="AL2392" i="2"/>
  <c r="AL2360" i="2"/>
  <c r="AL3615" i="2"/>
  <c r="AL3583" i="2"/>
  <c r="AL3551" i="2"/>
  <c r="AL3456" i="2"/>
  <c r="AL3403" i="2"/>
  <c r="AL3392" i="2"/>
  <c r="AL3171" i="2"/>
  <c r="AL3151" i="2"/>
  <c r="AL3119" i="2"/>
  <c r="AL3095" i="2"/>
  <c r="AL3087" i="2"/>
  <c r="AL3039" i="2"/>
  <c r="AL3031" i="2"/>
  <c r="AL2991" i="2"/>
  <c r="AL2959" i="2"/>
  <c r="AL2935" i="2"/>
  <c r="AL2847" i="2"/>
  <c r="AL2831" i="2"/>
  <c r="AL2807" i="2"/>
  <c r="AL3687" i="2"/>
  <c r="AL3655" i="2"/>
  <c r="AL3623" i="2"/>
  <c r="AL3559" i="2"/>
  <c r="AL3527" i="2"/>
  <c r="AL3504" i="2"/>
  <c r="AL3498" i="2"/>
  <c r="AL3463" i="2"/>
  <c r="AL3451" i="2"/>
  <c r="AL3434" i="2"/>
  <c r="AL3399" i="2"/>
  <c r="AL3387" i="2"/>
  <c r="AL3376" i="2"/>
  <c r="AL3370" i="2"/>
  <c r="AL3335" i="2"/>
  <c r="AL3323" i="2"/>
  <c r="AL3271" i="2"/>
  <c r="AL3259" i="2"/>
  <c r="AL3248" i="2"/>
  <c r="AL3242" i="2"/>
  <c r="AL3207" i="2"/>
  <c r="AL3195" i="2"/>
  <c r="AL3184" i="2"/>
  <c r="AL3168"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69" i="2"/>
  <c r="AL3656" i="2"/>
  <c r="AL3650" i="2"/>
  <c r="AL3643" i="2"/>
  <c r="AL3637" i="2"/>
  <c r="AL3624" i="2"/>
  <c r="AL3618" i="2"/>
  <c r="AL3605" i="2"/>
  <c r="AL3592" i="2"/>
  <c r="AL3560" i="2"/>
  <c r="AL3554" i="2"/>
  <c r="AL3547" i="2"/>
  <c r="AL3541" i="2"/>
  <c r="AL3528" i="2"/>
  <c r="AL3522"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65" i="2"/>
  <c r="AL3657" i="2"/>
  <c r="AL3649" i="2"/>
  <c r="AL3641" i="2"/>
  <c r="AL3633" i="2"/>
  <c r="AL3625" i="2"/>
  <c r="AL3617" i="2"/>
  <c r="AL3609" i="2"/>
  <c r="AL3601" i="2"/>
  <c r="AL3593" i="2"/>
  <c r="AL3585" i="2"/>
  <c r="AL3577" i="2"/>
  <c r="AL3569" i="2"/>
  <c r="AL3561" i="2"/>
  <c r="AL3553" i="2"/>
  <c r="AL3545" i="2"/>
  <c r="AL3537" i="2"/>
  <c r="AL3529" i="2"/>
  <c r="AL3505" i="2"/>
  <c r="AL3473" i="2"/>
  <c r="AL3457" i="2"/>
  <c r="AL3449" i="2"/>
  <c r="AL3441" i="2"/>
  <c r="AL3433" i="2"/>
  <c r="AL3425" i="2"/>
  <c r="AL3409" i="2"/>
  <c r="AL3401" i="2"/>
  <c r="AL3393" i="2"/>
  <c r="AL3377" i="2"/>
  <c r="AL3369" i="2"/>
  <c r="AL3361" i="2"/>
  <c r="AL3345" i="2"/>
  <c r="AL3337" i="2"/>
  <c r="AL3329" i="2"/>
  <c r="AL3313" i="2"/>
  <c r="AL3297" i="2"/>
  <c r="AL3281" i="2"/>
  <c r="AL3273" i="2"/>
  <c r="AL3265" i="2"/>
  <c r="AL3257" i="2"/>
  <c r="AL3241" i="2"/>
  <c r="AL3233" i="2"/>
  <c r="AL3225" i="2"/>
  <c r="AL3217" i="2"/>
  <c r="AL3201" i="2"/>
  <c r="AL3193" i="2"/>
  <c r="AL3185" i="2"/>
  <c r="AL3177" i="2"/>
  <c r="AL3169" i="2"/>
  <c r="AL3161" i="2"/>
  <c r="AL3153" i="2"/>
  <c r="AL3137" i="2"/>
  <c r="AL3121" i="2"/>
  <c r="AL3113" i="2"/>
  <c r="AL3105"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84" i="2"/>
  <c r="AL3668" i="2"/>
  <c r="AL3660" i="2"/>
  <c r="AL3652" i="2"/>
  <c r="AL3644" i="2"/>
  <c r="AL3636" i="2"/>
  <c r="AL3620" i="2"/>
  <c r="AL3612" i="2"/>
  <c r="AL3604" i="2"/>
  <c r="AL3596" i="2"/>
  <c r="AL3580"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276" i="2"/>
  <c r="AL3268" i="2"/>
  <c r="AL3260" i="2"/>
  <c r="AL3252" i="2"/>
  <c r="AL3244" i="2"/>
  <c r="AL3228" i="2"/>
  <c r="AL3220" i="2"/>
  <c r="AL3204" i="2"/>
  <c r="AL3196" i="2"/>
  <c r="AL3188" i="2"/>
  <c r="AL3180" i="2"/>
  <c r="AL3172" i="2"/>
  <c r="AL3164" i="2"/>
  <c r="AL3156" i="2"/>
  <c r="AL3148"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29" i="2"/>
  <c r="AL3413" i="2"/>
  <c r="AL3405" i="2"/>
  <c r="AL3397" i="2"/>
  <c r="AL3389" i="2"/>
  <c r="AL3381" i="2"/>
  <c r="AL3373" i="2"/>
  <c r="AL3365" i="2"/>
  <c r="AL3357" i="2"/>
  <c r="AL3349" i="2"/>
  <c r="AL3341" i="2"/>
  <c r="AL3301" i="2"/>
  <c r="AL3293" i="2"/>
  <c r="AL3277" i="2"/>
  <c r="AL3269" i="2"/>
  <c r="AL3261" i="2"/>
  <c r="AL3245" i="2"/>
  <c r="AL3237" i="2"/>
  <c r="AL3229" i="2"/>
  <c r="AL3213" i="2"/>
  <c r="AL3205" i="2"/>
  <c r="AL3197" i="2"/>
  <c r="AL3189"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62" i="2"/>
  <c r="AL3454"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82" i="2"/>
  <c r="AL3174" i="2"/>
  <c r="AL3166" i="2"/>
  <c r="AL3150" i="2"/>
  <c r="AL3134"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3" i="2"/>
  <c r="AL2307" i="2"/>
  <c r="AL2302" i="2"/>
  <c r="AL2297" i="2"/>
  <c r="AL2291" i="2"/>
  <c r="AL2286" i="2"/>
  <c r="AL2281" i="2"/>
  <c r="AL2275" i="2"/>
  <c r="AL2270" i="2"/>
  <c r="AL2265" i="2"/>
  <c r="AL2259" i="2"/>
  <c r="AL2254" i="2"/>
  <c r="AL2249" i="2"/>
  <c r="AL2238" i="2"/>
  <c r="AL2233" i="2"/>
  <c r="AL2227" i="2"/>
  <c r="AL2222" i="2"/>
  <c r="AL2217" i="2"/>
  <c r="AL2211" i="2"/>
  <c r="AL2206" i="2"/>
  <c r="AL2201" i="2"/>
  <c r="AL2195" i="2"/>
  <c r="AL2190" i="2"/>
  <c r="AL2179" i="2"/>
  <c r="AL2174" i="2"/>
  <c r="AL2163" i="2"/>
  <c r="AL2158" i="2"/>
  <c r="AL2147" i="2"/>
  <c r="AL2142" i="2"/>
  <c r="AL2131" i="2"/>
  <c r="AL2126" i="2"/>
  <c r="AL2115" i="2"/>
  <c r="AL2099" i="2"/>
  <c r="AL2094" i="2"/>
  <c r="AL2071" i="2"/>
  <c r="AL164" i="2"/>
  <c r="AL2401" i="2"/>
  <c r="AL2393" i="2"/>
  <c r="AL2385" i="2"/>
  <c r="AL1928" i="2"/>
  <c r="AL679" i="2"/>
  <c r="AL672" i="2"/>
  <c r="AL664"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37" i="2"/>
  <c r="AL2326" i="2"/>
  <c r="AL2321" i="2"/>
  <c r="AL2315" i="2"/>
  <c r="AL2310" i="2"/>
  <c r="AL2305" i="2"/>
  <c r="AL2299" i="2"/>
  <c r="AL2294" i="2"/>
  <c r="AL2289" i="2"/>
  <c r="AL2283" i="2"/>
  <c r="AL2278" i="2"/>
  <c r="AL2273" i="2"/>
  <c r="AL2267" i="2"/>
  <c r="AL2262" i="2"/>
  <c r="AL2257" i="2"/>
  <c r="AL2251" i="2"/>
  <c r="AL2241" i="2"/>
  <c r="AL2235" i="2"/>
  <c r="AL2230" i="2"/>
  <c r="AL2225" i="2"/>
  <c r="AL2219" i="2"/>
  <c r="AL2214" i="2"/>
  <c r="AL2203" i="2"/>
  <c r="AL2198" i="2"/>
  <c r="AL2193" i="2"/>
  <c r="AL2187" i="2"/>
  <c r="AL2182" i="2"/>
  <c r="AL2178" i="2"/>
  <c r="AL2171" i="2"/>
  <c r="AL2166" i="2"/>
  <c r="AL2162" i="2"/>
  <c r="AL2155" i="2"/>
  <c r="AL2150" i="2"/>
  <c r="AL2146" i="2"/>
  <c r="AL2139" i="2"/>
  <c r="AL2134" i="2"/>
  <c r="AL2130" i="2"/>
  <c r="AL2123" i="2"/>
  <c r="AL2118" i="2"/>
  <c r="AL2114"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59" i="2"/>
  <c r="AL2067" i="2"/>
  <c r="AL2055"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25" i="2"/>
  <c r="AL2017" i="2"/>
  <c r="AL2005" i="2"/>
  <c r="AL1987" i="2"/>
  <c r="AL1975" i="2"/>
  <c r="AL1958" i="2"/>
  <c r="AL1952" i="2"/>
  <c r="AL1941" i="2"/>
  <c r="AL1912" i="2"/>
  <c r="AL1896" i="2"/>
  <c r="AL1880" i="2"/>
  <c r="AL1864" i="2"/>
  <c r="AL1848" i="2"/>
  <c r="AL1832" i="2"/>
  <c r="AL1816" i="2"/>
  <c r="AL1800" i="2"/>
  <c r="AL1784" i="2"/>
  <c r="AL1768" i="2"/>
  <c r="AL1752" i="2"/>
  <c r="AL1737" i="2"/>
  <c r="AL1723" i="2"/>
  <c r="AL1546" i="2"/>
  <c r="AL2082" i="2"/>
  <c r="AL2074" i="2"/>
  <c r="AL2058" i="2"/>
  <c r="AL2050" i="2"/>
  <c r="AL2042" i="2"/>
  <c r="AL2034" i="2"/>
  <c r="AL2026" i="2"/>
  <c r="AL2018" i="2"/>
  <c r="AL2011" i="2"/>
  <c r="AL1999" i="2"/>
  <c r="AL1982" i="2"/>
  <c r="AL1976" i="2"/>
  <c r="AL1965" i="2"/>
  <c r="AL1947" i="2"/>
  <c r="AL1935" i="2"/>
  <c r="AL1918" i="2"/>
  <c r="AL1891" i="2"/>
  <c r="AL1875" i="2"/>
  <c r="AL1843" i="2"/>
  <c r="AL1827" i="2"/>
  <c r="AL1811" i="2"/>
  <c r="AL1795" i="2"/>
  <c r="AL1779" i="2"/>
  <c r="AL1763" i="2"/>
  <c r="AL1733" i="2"/>
  <c r="AL1713" i="2"/>
  <c r="AL1641" i="2"/>
  <c r="AL1602" i="2"/>
  <c r="AL1527" i="2"/>
  <c r="AL1442" i="2"/>
  <c r="AL2084" i="2"/>
  <c r="AL2076" i="2"/>
  <c r="AL2068" i="2"/>
  <c r="AL2060" i="2"/>
  <c r="AL2044" i="2"/>
  <c r="AL2036" i="2"/>
  <c r="AL2028" i="2"/>
  <c r="AL2020" i="2"/>
  <c r="AL2013" i="2"/>
  <c r="AL1995" i="2"/>
  <c r="AL1983" i="2"/>
  <c r="AL1960" i="2"/>
  <c r="AL1949" i="2"/>
  <c r="AL1931" i="2"/>
  <c r="AL1919" i="2"/>
  <c r="AL1909" i="2"/>
  <c r="AL1893" i="2"/>
  <c r="AL1887" i="2"/>
  <c r="AL1877" i="2"/>
  <c r="AL1871" i="2"/>
  <c r="AL1861" i="2"/>
  <c r="AL1855" i="2"/>
  <c r="AL1845" i="2"/>
  <c r="AL1839" i="2"/>
  <c r="AL1829" i="2"/>
  <c r="AL1823" i="2"/>
  <c r="AL1813" i="2"/>
  <c r="AL1807" i="2"/>
  <c r="AL1797" i="2"/>
  <c r="AL1791" i="2"/>
  <c r="AL1781" i="2"/>
  <c r="AL1775" i="2"/>
  <c r="AL1765" i="2"/>
  <c r="AL1759" i="2"/>
  <c r="AL1749" i="2"/>
  <c r="AL1653" i="2"/>
  <c r="AL1643" i="2"/>
  <c r="AL1623" i="2"/>
  <c r="AL1508" i="2"/>
  <c r="AL2078" i="2"/>
  <c r="AL2070" i="2"/>
  <c r="AL2062" i="2"/>
  <c r="AL2054" i="2"/>
  <c r="AL2046" i="2"/>
  <c r="AL2038" i="2"/>
  <c r="AL2030" i="2"/>
  <c r="AL2022" i="2"/>
  <c r="AL2014" i="2"/>
  <c r="AL2008" i="2"/>
  <c r="AL199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53" i="2"/>
  <c r="AL1747" i="2"/>
  <c r="AL1741" i="2"/>
  <c r="AL1731" i="2"/>
  <c r="AL1725" i="2"/>
  <c r="AL1715" i="2"/>
  <c r="AL1709" i="2"/>
  <c r="AL1699" i="2"/>
  <c r="AL1683" i="2"/>
  <c r="AL1677" i="2"/>
  <c r="AL1667" i="2"/>
  <c r="AL1661" i="2"/>
  <c r="AL1651" i="2"/>
  <c r="AL1645" i="2"/>
  <c r="AL1635" i="2"/>
  <c r="AL1592" i="2"/>
  <c r="AL1576" i="2"/>
  <c r="AL1514" i="2"/>
  <c r="AL1454" i="2"/>
  <c r="AL1312" i="2"/>
  <c r="AL2010" i="2"/>
  <c r="AL2002" i="2"/>
  <c r="AL1994" i="2"/>
  <c r="AL1986" i="2"/>
  <c r="AL1978" i="2"/>
  <c r="AL1962" i="2"/>
  <c r="AL1954" i="2"/>
  <c r="AL1946" i="2"/>
  <c r="AL1938" i="2"/>
  <c r="AL1930" i="2"/>
  <c r="AL1914" i="2"/>
  <c r="AL1898" i="2"/>
  <c r="AL1890" i="2"/>
  <c r="AL1882" i="2"/>
  <c r="AL1874" i="2"/>
  <c r="AL1866" i="2"/>
  <c r="AL1850" i="2"/>
  <c r="AL1834" i="2"/>
  <c r="AL1826" i="2"/>
  <c r="AL1810" i="2"/>
  <c r="AL1802" i="2"/>
  <c r="AL1794" i="2"/>
  <c r="AL1786" i="2"/>
  <c r="AL1770" i="2"/>
  <c r="AL1762" i="2"/>
  <c r="AL1754" i="2"/>
  <c r="AL1742" i="2"/>
  <c r="AL1726" i="2"/>
  <c r="AL1710" i="2"/>
  <c r="AL1694"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72" i="2"/>
  <c r="AL1764" i="2"/>
  <c r="AL1756" i="2"/>
  <c r="AL1626" i="2"/>
  <c r="AL1621" i="2"/>
  <c r="AL1594" i="2"/>
  <c r="AL1573" i="2"/>
  <c r="AL1562" i="2"/>
  <c r="AL1552" i="2"/>
  <c r="AL1536" i="2"/>
  <c r="AL1532" i="2"/>
  <c r="AL1506" i="2"/>
  <c r="AL1494" i="2"/>
  <c r="AL1489" i="2"/>
  <c r="AL1323" i="2"/>
  <c r="AL1195" i="2"/>
  <c r="AL1067" i="2"/>
  <c r="AL939" i="2"/>
  <c r="AL1910" i="2"/>
  <c r="AL1894" i="2"/>
  <c r="AL1886" i="2"/>
  <c r="AL1878" i="2"/>
  <c r="AL1870" i="2"/>
  <c r="AL1862" i="2"/>
  <c r="AL1854" i="2"/>
  <c r="AL1846" i="2"/>
  <c r="AL1838" i="2"/>
  <c r="AL1830" i="2"/>
  <c r="AL1822" i="2"/>
  <c r="AL1814" i="2"/>
  <c r="AL1806" i="2"/>
  <c r="AL1798" i="2"/>
  <c r="AL1790" i="2"/>
  <c r="AL1782" i="2"/>
  <c r="AL1774" i="2"/>
  <c r="AL1766" i="2"/>
  <c r="AL1750" i="2"/>
  <c r="AL1734" i="2"/>
  <c r="AL1718" i="2"/>
  <c r="AL1702" i="2"/>
  <c r="AL1686" i="2"/>
  <c r="AL1670" i="2"/>
  <c r="AL1654" i="2"/>
  <c r="AL1638" i="2"/>
  <c r="AL1628" i="2"/>
  <c r="AL1622" i="2"/>
  <c r="AL1616" i="2"/>
  <c r="AL1606" i="2"/>
  <c r="AL1543" i="2"/>
  <c r="AL1502" i="2"/>
  <c r="AL1743" i="2"/>
  <c r="AL1735" i="2"/>
  <c r="AL1727" i="2"/>
  <c r="AL1719" i="2"/>
  <c r="AL1711" i="2"/>
  <c r="AL1703" i="2"/>
  <c r="AL1687" i="2"/>
  <c r="AL1679" i="2"/>
  <c r="AL1663" i="2"/>
  <c r="AL1655" i="2"/>
  <c r="AL1647" i="2"/>
  <c r="AL1639" i="2"/>
  <c r="AL1631" i="2"/>
  <c r="AL1624" i="2"/>
  <c r="AL1610" i="2"/>
  <c r="AL1603" i="2"/>
  <c r="AL1596" i="2"/>
  <c r="AL1589" i="2"/>
  <c r="AL1574" i="2"/>
  <c r="AL1567" i="2"/>
  <c r="AL1560" i="2"/>
  <c r="AL1554" i="2"/>
  <c r="AL1548" i="2"/>
  <c r="AL1528" i="2"/>
  <c r="AL1522" i="2"/>
  <c r="AL1516" i="2"/>
  <c r="AL1503" i="2"/>
  <c r="AL1496" i="2"/>
  <c r="AL1429" i="2"/>
  <c r="AL1419" i="2"/>
  <c r="AL1410" i="2"/>
  <c r="AL1377" i="2"/>
  <c r="AL1367" i="2"/>
  <c r="AL1744" i="2"/>
  <c r="AL1736" i="2"/>
  <c r="AL1728" i="2"/>
  <c r="AL1720" i="2"/>
  <c r="AL1712" i="2"/>
  <c r="AL1704" i="2"/>
  <c r="AL1688" i="2"/>
  <c r="AL1680" i="2"/>
  <c r="AL1664" i="2"/>
  <c r="AL1656" i="2"/>
  <c r="AL1648" i="2"/>
  <c r="AL1640" i="2"/>
  <c r="AL1632" i="2"/>
  <c r="AL1618" i="2"/>
  <c r="AL1611" i="2"/>
  <c r="AL1604" i="2"/>
  <c r="AL1597"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84" i="2"/>
  <c r="AL1676" i="2"/>
  <c r="AL1660" i="2"/>
  <c r="AL1652" i="2"/>
  <c r="AL1644" i="2"/>
  <c r="AL1636" i="2"/>
  <c r="AL1629" i="2"/>
  <c r="AL1614" i="2"/>
  <c r="AL1607" i="2"/>
  <c r="AL1600" i="2"/>
  <c r="AL1586" i="2"/>
  <c r="AL1579" i="2"/>
  <c r="AL1572" i="2"/>
  <c r="AL1565" i="2"/>
  <c r="AL1558"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23" i="2"/>
  <c r="AL1515" i="2"/>
  <c r="AL1507" i="2"/>
  <c r="AL1499" i="2"/>
  <c r="AL1492" i="2"/>
  <c r="AL1481" i="2"/>
  <c r="AL1434" i="2"/>
  <c r="AL1428" i="2"/>
  <c r="AL1417" i="2"/>
  <c r="AL1370" i="2"/>
  <c r="AL1364" i="2"/>
  <c r="AL1348" i="2"/>
  <c r="AL1332" i="2"/>
  <c r="AL852" i="2"/>
  <c r="AL737" i="2"/>
  <c r="AL711" i="2"/>
  <c r="AL1482" i="2"/>
  <c r="AL1476" i="2"/>
  <c r="AL1465" i="2"/>
  <c r="AL1418" i="2"/>
  <c r="AL1412" i="2"/>
  <c r="AL1401" i="2"/>
  <c r="AL1292" i="2"/>
  <c r="AL1276" i="2"/>
  <c r="AL1260" i="2"/>
  <c r="AL1244" i="2"/>
  <c r="AL1228" i="2"/>
  <c r="AL1212" i="2"/>
  <c r="AL1196" i="2"/>
  <c r="AL1180" i="2"/>
  <c r="AL1164" i="2"/>
  <c r="AL1148" i="2"/>
  <c r="AL1132" i="2"/>
  <c r="AL1100" i="2"/>
  <c r="AL1084" i="2"/>
  <c r="AL1068" i="2"/>
  <c r="AL1052" i="2"/>
  <c r="AL1036" i="2"/>
  <c r="AL1020" i="2"/>
  <c r="AL1004" i="2"/>
  <c r="AL988" i="2"/>
  <c r="AL972" i="2"/>
  <c r="AL956" i="2"/>
  <c r="AL940" i="2"/>
  <c r="AL924" i="2"/>
  <c r="AL908" i="2"/>
  <c r="AL892" i="2"/>
  <c r="AL876" i="2"/>
  <c r="AL856" i="2"/>
  <c r="AL752" i="2"/>
  <c r="AL720"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695" i="2"/>
  <c r="AL683" i="2"/>
  <c r="AL855" i="2"/>
  <c r="AL847" i="2"/>
  <c r="AL839" i="2"/>
  <c r="AL831" i="2"/>
  <c r="AL823" i="2"/>
  <c r="AL815" i="2"/>
  <c r="AL807" i="2"/>
  <c r="AL799" i="2"/>
  <c r="AL791" i="2"/>
  <c r="AL783" i="2"/>
  <c r="AL775" i="2"/>
  <c r="AL767" i="2"/>
  <c r="AL760" i="2"/>
  <c r="AL725" i="2"/>
  <c r="AL719" i="2"/>
  <c r="AL707" i="2"/>
  <c r="AL696" i="2"/>
  <c r="AL663" i="2"/>
  <c r="AL647" i="2"/>
  <c r="AL639" i="2"/>
  <c r="AL631" i="2"/>
  <c r="AL623" i="2"/>
  <c r="AL615" i="2"/>
  <c r="AL607" i="2"/>
  <c r="AL599" i="2"/>
  <c r="AL591" i="2"/>
  <c r="AL583"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680" i="2"/>
  <c r="AL859" i="2"/>
  <c r="AL851" i="2"/>
  <c r="AL843" i="2"/>
  <c r="AL835" i="2"/>
  <c r="AL827" i="2"/>
  <c r="AL819" i="2"/>
  <c r="AL811" i="2"/>
  <c r="AL803" i="2"/>
  <c r="AL795" i="2"/>
  <c r="AL787" i="2"/>
  <c r="AL779" i="2"/>
  <c r="AL771" i="2"/>
  <c r="AL763" i="2"/>
  <c r="AL751" i="2"/>
  <c r="AL745" i="2"/>
  <c r="AL739" i="2"/>
  <c r="AL728" i="2"/>
  <c r="AL667" i="2"/>
  <c r="AL651"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66"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0"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86" i="2"/>
  <c r="AL78" i="2"/>
  <c r="AL87" i="2"/>
  <c r="AL79" i="2"/>
  <c r="AL89" i="2"/>
  <c r="AL81" i="2"/>
  <c r="AL75" i="2"/>
  <c r="AM16" i="2"/>
  <c r="AM15" i="2"/>
  <c r="AL4796" i="2"/>
  <c r="AL4943" i="2"/>
  <c r="AL4551" i="2"/>
  <c r="AL4512" i="2"/>
  <c r="AL4351" i="2"/>
  <c r="AL4509" i="2"/>
  <c r="AL4665" i="2"/>
  <c r="AL4329" i="2"/>
  <c r="AL4268" i="2"/>
  <c r="AL4149" i="2"/>
  <c r="AL4136" i="2"/>
  <c r="AL4092" i="2"/>
  <c r="AL4085" i="2"/>
  <c r="AL4062" i="2"/>
  <c r="AL4395" i="2"/>
  <c r="AL4387" i="2"/>
  <c r="AL4337" i="2"/>
  <c r="AL4293" i="2"/>
  <c r="AL4368" i="2"/>
  <c r="AL4341" i="2"/>
  <c r="AL4331" i="2"/>
  <c r="AL4308" i="2"/>
  <c r="AL4291" i="2"/>
  <c r="AL4263" i="2"/>
  <c r="AL4239" i="2"/>
  <c r="AL4235" i="2"/>
  <c r="AL4197" i="2"/>
  <c r="AL4184" i="2"/>
  <c r="AL4175" i="2"/>
  <c r="AL4140" i="2"/>
  <c r="AL4133" i="2"/>
  <c r="AL4120" i="2"/>
  <c r="AL4069" i="2"/>
  <c r="AL4032" i="2"/>
  <c r="AL4027" i="2"/>
  <c r="AL4012" i="2"/>
  <c r="AL3996" i="2"/>
  <c r="AL3980" i="2"/>
  <c r="AL4353" i="2"/>
  <c r="AL4339" i="2"/>
  <c r="AL4312" i="2"/>
  <c r="AL4144" i="2"/>
  <c r="AL4137" i="2"/>
  <c r="AL4049" i="2"/>
  <c r="AL4028" i="2"/>
  <c r="AL4417" i="2"/>
  <c r="AL4392" i="2"/>
  <c r="AL4357" i="2"/>
  <c r="AL4316" i="2"/>
  <c r="AL4299" i="2"/>
  <c r="AL4273" i="2"/>
  <c r="AL4245" i="2"/>
  <c r="AL4232" i="2"/>
  <c r="AL4223" i="2"/>
  <c r="AL4188" i="2"/>
  <c r="AL4181" i="2"/>
  <c r="AL4159" i="2"/>
  <c r="AL4124" i="2"/>
  <c r="AL4104" i="2"/>
  <c r="AL4095" i="2"/>
  <c r="AL4016" i="2"/>
  <c r="AL4000" i="2"/>
  <c r="AL3984" i="2"/>
  <c r="AL4369" i="2"/>
  <c r="AL4355" i="2"/>
  <c r="AL4247" i="2"/>
  <c r="AL4243" i="2"/>
  <c r="AL4185" i="2"/>
  <c r="AL4183" i="2"/>
  <c r="AL4179" i="2"/>
  <c r="AL4121" i="2"/>
  <c r="AL4119" i="2"/>
  <c r="AL4115" i="2"/>
  <c r="AL4040" i="2"/>
  <c r="AL4401" i="2"/>
  <c r="AL4363" i="2"/>
  <c r="AL4336" i="2"/>
  <c r="AL4313" i="2"/>
  <c r="AL4307" i="2"/>
  <c r="AL4275" i="2"/>
  <c r="AL4229" i="2"/>
  <c r="AL4216" i="2"/>
  <c r="AL4209" i="2"/>
  <c r="AL4207" i="2"/>
  <c r="AL4172" i="2"/>
  <c r="AL4152" i="2"/>
  <c r="AL4139" i="2"/>
  <c r="AL4108" i="2"/>
  <c r="AL4088" i="2"/>
  <c r="AL4048" i="2"/>
  <c r="AL4020" i="2"/>
  <c r="AL4004" i="2"/>
  <c r="AL3988" i="2"/>
  <c r="AL3972" i="2"/>
  <c r="AL3930" i="2"/>
  <c r="AL3926" i="2"/>
  <c r="AL3924" i="2"/>
  <c r="AL3893" i="2"/>
  <c r="AL3849" i="2"/>
  <c r="AL3842" i="2"/>
  <c r="AL3829" i="2"/>
  <c r="AL3822" i="2"/>
  <c r="AL3820" i="2"/>
  <c r="AL3788" i="2"/>
  <c r="AL3759" i="2"/>
  <c r="AL3733" i="2"/>
  <c r="AL3719" i="2"/>
  <c r="AL3698" i="2"/>
  <c r="AL3658" i="2"/>
  <c r="AL3471" i="2"/>
  <c r="AL3450" i="2"/>
  <c r="AL3298" i="2"/>
  <c r="AL3890" i="2"/>
  <c r="AL3511" i="2"/>
  <c r="AL4058" i="2"/>
  <c r="AL4042" i="2"/>
  <c r="AL4026" i="2"/>
  <c r="AL3954" i="2"/>
  <c r="AL3913" i="2"/>
  <c r="AL3909" i="2"/>
  <c r="AL3894" i="2"/>
  <c r="AL3857" i="2"/>
  <c r="AL3850" i="2"/>
  <c r="AL3837" i="2"/>
  <c r="AL3830" i="2"/>
  <c r="AL3828" i="2"/>
  <c r="AL3781" i="2"/>
  <c r="AL3731" i="2"/>
  <c r="AL3707" i="2"/>
  <c r="AL3704" i="2"/>
  <c r="AL3645" i="2"/>
  <c r="AL3263" i="2"/>
  <c r="AL3194" i="2"/>
  <c r="AL3962" i="2"/>
  <c r="AL3921" i="2"/>
  <c r="AL3917" i="2"/>
  <c r="AL3898" i="2"/>
  <c r="AL3861" i="2"/>
  <c r="AL3817" i="2"/>
  <c r="AL3797" i="2"/>
  <c r="AL3742" i="2"/>
  <c r="AL3724" i="2"/>
  <c r="AL3708" i="2"/>
  <c r="AL3663" i="2"/>
  <c r="AL3621" i="2"/>
  <c r="AL3599" i="2"/>
  <c r="AL4054" i="2"/>
  <c r="AL4038" i="2"/>
  <c r="AL4022" i="2"/>
  <c r="AL4018" i="2"/>
  <c r="AL4014" i="2"/>
  <c r="AL4010" i="2"/>
  <c r="AL4006" i="2"/>
  <c r="AL4002" i="2"/>
  <c r="AL3998" i="2"/>
  <c r="AL3994" i="2"/>
  <c r="AL3990" i="2"/>
  <c r="AL3982" i="2"/>
  <c r="AL3978" i="2"/>
  <c r="AL3974" i="2"/>
  <c r="AL3929" i="2"/>
  <c r="AL3906" i="2"/>
  <c r="AL3902" i="2"/>
  <c r="AL3878" i="2"/>
  <c r="AL3821" i="2"/>
  <c r="AL3814" i="2"/>
  <c r="AL3768" i="2"/>
  <c r="AL3490" i="2"/>
  <c r="AL3455" i="2"/>
  <c r="AL3371" i="2"/>
  <c r="AL3336" i="2"/>
  <c r="AL3937" i="2"/>
  <c r="AL3933" i="2"/>
  <c r="AL3914" i="2"/>
  <c r="AL3910" i="2"/>
  <c r="AL3908" i="2"/>
  <c r="AL3865" i="2"/>
  <c r="AL3845" i="2"/>
  <c r="AL3838" i="2"/>
  <c r="AL3836" i="2"/>
  <c r="AL3801" i="2"/>
  <c r="AL3784" i="2"/>
  <c r="AL3718" i="2"/>
  <c r="AL3565" i="2"/>
  <c r="AL3362" i="2"/>
  <c r="AL3296" i="2"/>
  <c r="AL3243" i="2"/>
  <c r="AL3199" i="2"/>
  <c r="AL4050" i="2"/>
  <c r="AL4034" i="2"/>
  <c r="AL3916" i="2"/>
  <c r="AL3860" i="2"/>
  <c r="AL3796" i="2"/>
  <c r="AL3792" i="2"/>
  <c r="AL3780" i="2"/>
  <c r="AL3756" i="2"/>
  <c r="AL3752" i="2"/>
  <c r="AL3594" i="2"/>
  <c r="AL3410" i="2"/>
  <c r="AL3304" i="2"/>
  <c r="AL3091" i="2"/>
  <c r="AL2987" i="2"/>
  <c r="AL2591" i="2"/>
  <c r="AL2995"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3" i="2"/>
  <c r="AL1879" i="2"/>
  <c r="AL1837" i="2"/>
  <c r="AL1831" i="2"/>
  <c r="AL2535" i="2"/>
  <c r="AL2525" i="2"/>
  <c r="AL2509" i="2"/>
  <c r="AL2493" i="2"/>
  <c r="AL2229" i="2"/>
  <c r="AL2200" i="2"/>
  <c r="AL2129" i="2"/>
  <c r="AL2104" i="2"/>
  <c r="AL2519" i="2"/>
  <c r="AL2503" i="2"/>
  <c r="AL2332" i="2"/>
  <c r="AL2212" i="2"/>
  <c r="AL2186"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471" i="2"/>
  <c r="AL1451" i="2"/>
  <c r="AL1432" i="2"/>
  <c r="AL1422" i="2"/>
  <c r="AL1406" i="2"/>
  <c r="AL1399" i="2"/>
  <c r="AL1385" i="2"/>
  <c r="AL1524" i="2"/>
  <c r="AL1511" i="2"/>
  <c r="AL1458" i="2"/>
  <c r="AL1416" i="2"/>
  <c r="AL1413" i="2"/>
  <c r="AL1389"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085" i="2"/>
  <c r="AL1074" i="2"/>
  <c r="AL1379" i="2"/>
  <c r="AL1353" i="2"/>
  <c r="AL1337" i="2"/>
  <c r="AL1318" i="2"/>
  <c r="AL1286" i="2"/>
  <c r="AL1280" i="2"/>
  <c r="AL1273" i="2"/>
  <c r="AL1263" i="2"/>
  <c r="AL1255" i="2"/>
  <c r="AL1248" i="2"/>
  <c r="AL1219" i="2"/>
  <c r="AL1215" i="2"/>
  <c r="AL1200" i="2"/>
  <c r="AL1190" i="2"/>
  <c r="AL1186" i="2"/>
  <c r="AL1179" i="2"/>
  <c r="AL1161"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1058" i="2"/>
  <c r="AL1055" i="2"/>
  <c r="AL1049" i="2"/>
  <c r="AL1025" i="2"/>
  <c r="AL993" i="2"/>
  <c r="AL961" i="2"/>
  <c r="AL919" i="2"/>
  <c r="AL903" i="2"/>
  <c r="AL880" i="2"/>
  <c r="AL877" i="2"/>
  <c r="AL865" i="2"/>
  <c r="AL829" i="2"/>
  <c r="AL797" i="2"/>
  <c r="AL762" i="2"/>
  <c r="AL735" i="2"/>
  <c r="AL637" i="2"/>
  <c r="AL363" i="2"/>
  <c r="AL321" i="2"/>
  <c r="AL377" i="2"/>
  <c r="AL329" i="2"/>
  <c r="AL300" i="2"/>
  <c r="AL629" i="2"/>
  <c r="AL509" i="2"/>
  <c r="AL433" i="2"/>
  <c r="AL427" i="2"/>
  <c r="AL345" i="2"/>
  <c r="AL313" i="2"/>
  <c r="AL573" i="2"/>
  <c r="AL501" i="2"/>
  <c r="AL493" i="2"/>
  <c r="AL477" i="2"/>
  <c r="AL565" i="2"/>
  <c r="AL419" i="2"/>
  <c r="AL323" i="2"/>
  <c r="AL541" i="2"/>
  <c r="AL425" i="2"/>
  <c r="AL205" i="2"/>
  <c r="AL198"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5005" i="2"/>
  <c r="AL5049" i="2"/>
  <c r="AL5066" i="2"/>
  <c r="AL5132" i="2"/>
  <c r="AL5158" i="2"/>
  <c r="AL5190" i="2"/>
  <c r="AL4872" i="2"/>
  <c r="AL4759" i="2"/>
  <c r="AL4748" i="2"/>
  <c r="AL4720" i="2"/>
  <c r="AL4933" i="2"/>
  <c r="AL4558" i="2"/>
  <c r="AL4818" i="2"/>
  <c r="AL4583" i="2"/>
  <c r="AL4393" i="2"/>
  <c r="AL4272" i="2"/>
  <c r="AL4215" i="2"/>
  <c r="AL4169" i="2"/>
  <c r="AL4163" i="2"/>
  <c r="AL4157" i="2"/>
  <c r="AL4086" i="2"/>
  <c r="AL4051" i="2"/>
  <c r="AL3935" i="2"/>
  <c r="AL3897" i="2"/>
  <c r="AL3803" i="2"/>
  <c r="AL3776" i="2"/>
  <c r="AL4605" i="2"/>
  <c r="AL4573" i="2"/>
  <c r="AL4221" i="2"/>
  <c r="AL4151" i="2"/>
  <c r="AL4135" i="2"/>
  <c r="AL3862" i="2"/>
  <c r="AL4126" i="2"/>
  <c r="AL4624" i="2"/>
  <c r="AL4326" i="2"/>
  <c r="AL4658" i="2"/>
  <c r="AL4436" i="2"/>
  <c r="AL4226" i="2"/>
  <c r="AL4219" i="2"/>
  <c r="AL4193" i="2"/>
  <c r="AL4158" i="2"/>
  <c r="AL4130" i="2"/>
  <c r="AL3812" i="2"/>
  <c r="AL3777" i="2"/>
  <c r="AL4378" i="2"/>
  <c r="AL4314" i="2"/>
  <c r="AL4310" i="2"/>
  <c r="AL4266" i="2"/>
  <c r="AL4118" i="2"/>
  <c r="AL3973" i="2"/>
  <c r="AL4242" i="2"/>
  <c r="AL3940" i="2"/>
  <c r="AL3844" i="2"/>
  <c r="AL4300" i="2"/>
  <c r="AL4287" i="2"/>
  <c r="AL4283" i="2"/>
  <c r="AL4255" i="2"/>
  <c r="AL4251" i="2"/>
  <c r="AL4224" i="2"/>
  <c r="AL4211" i="2"/>
  <c r="AL3959" i="2"/>
  <c r="AL3782" i="2"/>
  <c r="AL3319" i="2"/>
  <c r="AL2971" i="2"/>
  <c r="AL4021" i="2"/>
  <c r="AL4013" i="2"/>
  <c r="AL3964" i="2"/>
  <c r="AL3960" i="2"/>
  <c r="AL3813" i="2"/>
  <c r="AL3720" i="2"/>
  <c r="AL2775" i="2"/>
  <c r="AL2711" i="2"/>
  <c r="AL2565" i="2"/>
  <c r="AL3840" i="2"/>
  <c r="AL3818" i="2"/>
  <c r="AL3734" i="2"/>
  <c r="AL3424" i="2"/>
  <c r="AL2979" i="2"/>
  <c r="AL2743" i="2"/>
  <c r="AL2615" i="2"/>
  <c r="AL2487" i="2"/>
  <c r="AL4041" i="2"/>
  <c r="AL3992" i="2"/>
  <c r="AL3922" i="2"/>
  <c r="AL3809" i="2"/>
  <c r="AL3739" i="2"/>
  <c r="AL3597" i="2"/>
  <c r="AL3418" i="2"/>
  <c r="AL3290" i="2"/>
  <c r="AL2583" i="2"/>
  <c r="AL2293" i="2"/>
  <c r="AL3958" i="2"/>
  <c r="AL3867" i="2"/>
  <c r="AL3841" i="2"/>
  <c r="AL3685" i="2"/>
  <c r="AL3629" i="2"/>
  <c r="AL2108" i="2"/>
  <c r="AL4023" i="2"/>
  <c r="AL4015" i="2"/>
  <c r="AL3819" i="2"/>
  <c r="AL2172" i="2"/>
  <c r="AL4068" i="2"/>
  <c r="AL3932" i="2"/>
  <c r="AL3846" i="2"/>
  <c r="AL372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485" i="2"/>
  <c r="AL1003" i="2"/>
  <c r="AL917" i="2"/>
  <c r="AL905" i="2"/>
  <c r="AL1037" i="2"/>
  <c r="AL1017" i="2"/>
  <c r="AL931" i="2"/>
  <c r="AL901" i="2"/>
  <c r="AL863" i="2"/>
  <c r="AL834" i="2"/>
  <c r="AL818" i="2"/>
  <c r="AL461" i="2"/>
  <c r="AL1047" i="2"/>
  <c r="AL1000" i="2"/>
  <c r="AL982" i="2"/>
  <c r="AL978" i="2"/>
  <c r="AL960" i="2"/>
  <c r="AL873" i="2"/>
  <c r="AL808"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5013" i="2"/>
  <c r="AL5198" i="2"/>
  <c r="AL5267" i="2"/>
  <c r="AL221" i="2"/>
  <c r="AL216" i="2"/>
  <c r="AL5243" i="2"/>
  <c r="AL173" i="2"/>
  <c r="AL5018" i="2"/>
  <c r="AL5021" i="2"/>
  <c r="AL5223" i="2"/>
  <c r="AL4752" i="2"/>
  <c r="AL4489" i="2"/>
  <c r="AL4324" i="2"/>
  <c r="AL4278" i="2"/>
  <c r="AL4225" i="2"/>
  <c r="AL4141" i="2"/>
  <c r="AL4908" i="2"/>
  <c r="AL4900" i="2"/>
  <c r="AL4816" i="2"/>
  <c r="AL4813" i="2"/>
  <c r="AL4599" i="2"/>
  <c r="AL4433" i="2"/>
  <c r="AL4303" i="2"/>
  <c r="AL3843" i="2"/>
  <c r="AL4824" i="2"/>
  <c r="AL4654" i="2"/>
  <c r="AL4528" i="2"/>
  <c r="AL4501" i="2"/>
  <c r="AL4493" i="2"/>
  <c r="AL4960" i="2"/>
  <c r="AL4756" i="2"/>
  <c r="AL4738" i="2"/>
  <c r="AL4734" i="2"/>
  <c r="AL4724" i="2"/>
  <c r="AL4644" i="2"/>
  <c r="AL4494" i="2"/>
  <c r="AL4454" i="2"/>
  <c r="AL4338" i="2"/>
  <c r="AL4007" i="2"/>
  <c r="AL3986" i="2"/>
  <c r="AL4804" i="2"/>
  <c r="AL4981" i="2"/>
  <c r="AL4877" i="2"/>
  <c r="AL4798" i="2"/>
  <c r="AL4736" i="2"/>
  <c r="AL4684" i="2"/>
  <c r="AL4633" i="2"/>
  <c r="AL4571" i="2"/>
  <c r="AL4549" i="2"/>
  <c r="AL4461" i="2"/>
  <c r="AL4439" i="2"/>
  <c r="AL4365" i="2"/>
  <c r="AL4330" i="2"/>
  <c r="AL4262" i="2"/>
  <c r="AL4166" i="2"/>
  <c r="AL3824" i="2"/>
  <c r="AL3659" i="2"/>
  <c r="AL4359" i="2"/>
  <c r="AL4342" i="2"/>
  <c r="AL4241" i="2"/>
  <c r="AL4238" i="2"/>
  <c r="AL4094" i="2"/>
  <c r="AL4017" i="2"/>
  <c r="AL4029" i="2"/>
  <c r="AL3887" i="2"/>
  <c r="AL3736" i="2"/>
  <c r="AL4343" i="2"/>
  <c r="AL4261" i="2"/>
  <c r="AL4091" i="2"/>
  <c r="AL4044" i="2"/>
  <c r="AL4033" i="2"/>
  <c r="AL3991" i="2"/>
  <c r="AL3904" i="2"/>
  <c r="AL3869" i="2"/>
  <c r="AL4327" i="2"/>
  <c r="AL4202" i="2"/>
  <c r="AL4098" i="2"/>
  <c r="AL3944" i="2"/>
  <c r="AL4410" i="2"/>
  <c r="AL4374" i="2"/>
  <c r="AL4348" i="2"/>
  <c r="AL4344" i="2"/>
  <c r="AL4317" i="2"/>
  <c r="AL4206" i="2"/>
  <c r="AL4189" i="2"/>
  <c r="AL4127" i="2"/>
  <c r="AL4003" i="2"/>
  <c r="AL3967" i="2"/>
  <c r="AL3934" i="2"/>
  <c r="AL3918" i="2"/>
  <c r="AL3785" i="2"/>
  <c r="AL4191" i="2"/>
  <c r="AL4187" i="2"/>
  <c r="AL4164" i="2"/>
  <c r="AL4128" i="2"/>
  <c r="AL4025" i="2"/>
  <c r="AL3919" i="2"/>
  <c r="AL3831" i="2"/>
  <c r="AL3811" i="2"/>
  <c r="AL3779" i="2"/>
  <c r="AL3772" i="2"/>
  <c r="AL3765" i="2"/>
  <c r="AL3747" i="2"/>
  <c r="AL3488" i="2"/>
  <c r="AL3322" i="2"/>
  <c r="AL4180" i="2"/>
  <c r="AL4176"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699" i="2"/>
  <c r="AL3519" i="2"/>
  <c r="AL3226" i="2"/>
  <c r="AL4102" i="2"/>
  <c r="AL4057" i="2"/>
  <c r="AL3951" i="2"/>
  <c r="AL3931" i="2"/>
  <c r="AL3911" i="2"/>
  <c r="AL3907" i="2"/>
  <c r="AL3903" i="2"/>
  <c r="AL3889" i="2"/>
  <c r="AL3807" i="2"/>
  <c r="AL3793" i="2"/>
  <c r="AL3748" i="2"/>
  <c r="AL3745" i="2"/>
  <c r="AL3703" i="2"/>
  <c r="AL3690" i="2"/>
  <c r="AL3186" i="2"/>
  <c r="AL4297" i="2"/>
  <c r="AL4286"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145" i="2"/>
  <c r="AL1888" i="2"/>
  <c r="AL2719" i="2"/>
  <c r="AL2695" i="2"/>
  <c r="AL2336" i="2"/>
  <c r="AL2192"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23" i="2"/>
  <c r="AL2137" i="2"/>
  <c r="AL1805" i="2"/>
  <c r="AL1739" i="2"/>
  <c r="AL1707" i="2"/>
  <c r="AL1681" i="2"/>
  <c r="AL1665" i="2"/>
  <c r="AL1441" i="2"/>
  <c r="AL1400" i="2"/>
  <c r="AL1394" i="2"/>
  <c r="AL2231" i="2"/>
  <c r="AL2043" i="2"/>
  <c r="AL1821" i="2"/>
  <c r="AL1757" i="2"/>
  <c r="AL1689" i="2"/>
  <c r="AL1612" i="2"/>
  <c r="AL1512" i="2"/>
  <c r="AL1425" i="2"/>
  <c r="AL1382" i="2"/>
  <c r="AL1376" i="2"/>
  <c r="AL1231" i="2"/>
  <c r="AL114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04" i="2"/>
  <c r="AL832" i="2"/>
  <c r="AL1456" i="2"/>
  <c r="AL1320" i="2"/>
  <c r="AL1302" i="2"/>
  <c r="AL1216" i="2"/>
  <c r="AL1209" i="2"/>
  <c r="AL1185" i="2"/>
  <c r="AL1113" i="2"/>
  <c r="AL1005" i="2"/>
  <c r="AL984" i="2"/>
  <c r="AL866" i="2"/>
  <c r="AL1079" i="2"/>
  <c r="AL1051" i="2"/>
  <c r="AL929" i="2"/>
  <c r="AL921" i="2"/>
  <c r="AL883" i="2"/>
  <c r="AL781" i="2"/>
  <c r="AL685" i="2"/>
  <c r="AL872"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034" i="2"/>
  <c r="AL5102" i="2"/>
  <c r="AL5134" i="2"/>
  <c r="AL5010" i="2"/>
  <c r="AL5033" i="2"/>
  <c r="AL5054" i="2"/>
  <c r="AL5062" i="2"/>
  <c r="AL5078" i="2"/>
  <c r="AL5126" i="2"/>
  <c r="AL5279" i="2"/>
  <c r="AL5263" i="2"/>
  <c r="AL4976" i="2"/>
  <c r="AL4615" i="2"/>
  <c r="AL4609" i="2"/>
  <c r="AL4587" i="2"/>
  <c r="AL4482" i="2"/>
  <c r="AL4398" i="2"/>
  <c r="AL4388" i="2"/>
  <c r="AL4920" i="2"/>
  <c r="AL4716" i="2"/>
  <c r="AL4601" i="2"/>
  <c r="AL4396" i="2"/>
  <c r="AL4952" i="2"/>
  <c r="AL4807" i="2"/>
  <c r="AL4332" i="2"/>
  <c r="AL4910" i="2"/>
  <c r="AL4750" i="2"/>
  <c r="AL4636" i="2"/>
  <c r="AL4617" i="2"/>
  <c r="AL4518" i="2"/>
  <c r="AL4979" i="2"/>
  <c r="AL4706" i="2"/>
  <c r="AL4629" i="2"/>
  <c r="AL4533" i="2"/>
  <c r="AL4334" i="2"/>
  <c r="AL4670" i="2"/>
  <c r="AL4931" i="2"/>
  <c r="AL4802" i="2"/>
  <c r="AL4688" i="2"/>
  <c r="AL4516" i="2"/>
  <c r="AL4503" i="2"/>
  <c r="AL4445" i="2"/>
  <c r="AL4346" i="2"/>
  <c r="AL4253" i="2"/>
  <c r="AL4171" i="2"/>
  <c r="AL4154" i="2"/>
  <c r="AL4132" i="2"/>
  <c r="AL4093" i="2"/>
  <c r="AL3985" i="2"/>
  <c r="AL3975" i="2"/>
  <c r="AL3839" i="2"/>
  <c r="AL3802" i="2"/>
  <c r="AL3524" i="2"/>
  <c r="AL3478" i="2"/>
  <c r="AL3416" i="2"/>
  <c r="AL4177" i="2"/>
  <c r="AL4168" i="2"/>
  <c r="AL4155" i="2"/>
  <c r="AL4090" i="2"/>
  <c r="AL4055" i="2"/>
  <c r="AL3938" i="2"/>
  <c r="AL3886" i="2"/>
  <c r="AL4024" i="2"/>
  <c r="AL3952" i="2"/>
  <c r="AL3912" i="2"/>
  <c r="AL3833" i="2"/>
  <c r="AL3826" i="2"/>
  <c r="AL3715" i="2"/>
  <c r="AL3702" i="2"/>
  <c r="AL3640" i="2"/>
  <c r="AL3562" i="2"/>
  <c r="AL4441" i="2"/>
  <c r="AL4205" i="2"/>
  <c r="AL3997" i="2"/>
  <c r="AL3882" i="2"/>
  <c r="AL3876" i="2"/>
  <c r="AL3859" i="2"/>
  <c r="AL3608" i="2"/>
  <c r="AL4384" i="2"/>
  <c r="AL4249" i="2"/>
  <c r="AL4237" i="2"/>
  <c r="AL4103" i="2"/>
  <c r="AL4078" i="2"/>
  <c r="AL4008" i="2"/>
  <c r="AL3905" i="2"/>
  <c r="AL3870" i="2"/>
  <c r="AL3823" i="2"/>
  <c r="AL3794" i="2"/>
  <c r="AL4377" i="2"/>
  <c r="AL4340" i="2"/>
  <c r="AL3564" i="2"/>
  <c r="AL3435" i="2"/>
  <c r="AL4429" i="2"/>
  <c r="AL4349" i="2"/>
  <c r="AL4309" i="2"/>
  <c r="AL4218" i="2"/>
  <c r="AL4099" i="2"/>
  <c r="AL3949" i="2"/>
  <c r="AL3901" i="2"/>
  <c r="AL3868" i="2"/>
  <c r="AL3847" i="2"/>
  <c r="AL3789" i="2"/>
  <c r="AL3732" i="2"/>
  <c r="AL3700" i="2"/>
  <c r="AL3317" i="2"/>
  <c r="AL3258" i="2"/>
  <c r="AL3249" i="2"/>
  <c r="AL2945" i="2"/>
  <c r="AL3355" i="2"/>
  <c r="AL3314" i="2"/>
  <c r="AL3214" i="2"/>
  <c r="AL3383" i="2"/>
  <c r="AL3308" i="2"/>
  <c r="AL3282" i="2"/>
  <c r="AL3230" i="2"/>
  <c r="AL3400" i="2"/>
  <c r="AL3318" i="2"/>
  <c r="AL3312" i="2"/>
  <c r="AL3211" i="2"/>
  <c r="AL3250" i="2"/>
  <c r="AL3218" i="2"/>
  <c r="AL3131" i="2"/>
  <c r="AL3111" i="2"/>
  <c r="AL3346" i="2"/>
  <c r="AL3101" i="2"/>
  <c r="AL2703" i="2"/>
  <c r="AL3112" i="2"/>
  <c r="AL2655" i="2"/>
  <c r="AL2647" i="2"/>
  <c r="AL2501" i="2"/>
  <c r="AL2495" i="2"/>
  <c r="AL2218" i="2"/>
  <c r="AL2399" i="2"/>
  <c r="AL2359" i="2"/>
  <c r="AL2317" i="2"/>
  <c r="AL2783" i="2"/>
  <c r="AL2378" i="2"/>
  <c r="AL2271" i="2"/>
  <c r="AL2324" i="2"/>
  <c r="AL2245" i="2"/>
  <c r="AL2220" i="2"/>
  <c r="AL2279" i="2"/>
  <c r="AL2232" i="2"/>
  <c r="AL2023" i="2"/>
  <c r="AL2003" i="2"/>
  <c r="AL1856" i="2"/>
  <c r="AL1340" i="2"/>
  <c r="AL1381" i="2"/>
  <c r="AL2215" i="2"/>
  <c r="AL2116" i="2"/>
  <c r="AL2083" i="2"/>
  <c r="AL1936" i="2"/>
  <c r="AL1605" i="2"/>
  <c r="AL2439" i="2"/>
  <c r="AL2367" i="2"/>
  <c r="AL2304" i="2"/>
  <c r="AL1955" i="2"/>
  <c r="AL1467" i="2"/>
  <c r="AL2368" i="2"/>
  <c r="AL1943" i="2"/>
  <c r="AL1559" i="2"/>
  <c r="AL1218"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5059" i="2"/>
  <c r="AL5184" i="2"/>
  <c r="AL5255" i="2"/>
  <c r="AM10" i="2"/>
  <c r="AL4994" i="2"/>
  <c r="AL4955" i="2"/>
  <c r="AL4936" i="2"/>
  <c r="AL4914" i="2"/>
  <c r="AL4797" i="2"/>
  <c r="AL4649" i="2"/>
  <c r="AL4597" i="2"/>
  <c r="AL4890" i="2"/>
  <c r="AL4704" i="2"/>
  <c r="AL4853" i="2"/>
  <c r="AL4785" i="2"/>
  <c r="AL4895" i="2"/>
  <c r="AL4850" i="2"/>
  <c r="AL4964" i="2"/>
  <c r="AL4780" i="2"/>
  <c r="AL4545" i="2"/>
  <c r="AL4385" i="2"/>
  <c r="AL4418" i="2"/>
  <c r="AL4298" i="2"/>
  <c r="AL4083" i="2"/>
  <c r="AL4035" i="2"/>
  <c r="AL3999" i="2"/>
  <c r="AL3979" i="2"/>
  <c r="AL3969" i="2"/>
  <c r="AL3798" i="2"/>
  <c r="AL3744" i="2"/>
  <c r="AL3546" i="2"/>
  <c r="AL3523" i="2"/>
  <c r="AL4485" i="2"/>
  <c r="AL4366" i="2"/>
  <c r="AL4321" i="2"/>
  <c r="AL4167" i="2"/>
  <c r="AL4153" i="2"/>
  <c r="AL4110" i="2"/>
  <c r="AL4096" i="2"/>
  <c r="AL4328" i="2"/>
  <c r="AL4217" i="2"/>
  <c r="AL4030" i="2"/>
  <c r="AL3880" i="2"/>
  <c r="AL3877" i="2"/>
  <c r="AL3563" i="2"/>
  <c r="AL4399" i="2"/>
  <c r="AL4165" i="2"/>
  <c r="AL4134" i="2"/>
  <c r="AL4053" i="2"/>
  <c r="AL4037" i="2"/>
  <c r="AL3957" i="2"/>
  <c r="AL4379" i="2"/>
  <c r="AL4319" i="2"/>
  <c r="AL4315" i="2"/>
  <c r="AL4196" i="2"/>
  <c r="AL4074" i="2"/>
  <c r="AL3981" i="2"/>
  <c r="AL3888" i="2"/>
  <c r="AL3881" i="2"/>
  <c r="AL4496" i="2"/>
  <c r="AL4481" i="2"/>
  <c r="AL3321" i="2"/>
  <c r="AL3114" i="2"/>
  <c r="AL2915" i="2"/>
  <c r="AL2899" i="2"/>
  <c r="AL2811" i="2"/>
  <c r="AL3292" i="2"/>
  <c r="AL3115" i="2"/>
  <c r="AL3075" i="2"/>
  <c r="AL2819" i="2"/>
  <c r="AL3208" i="2"/>
  <c r="AL2948" i="2"/>
  <c r="AL2883" i="2"/>
  <c r="AL3533" i="2"/>
  <c r="AL3430" i="2"/>
  <c r="AL3209" i="2"/>
  <c r="AL3191"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615" i="2"/>
  <c r="AL121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315" i="2"/>
  <c r="AL192" i="2"/>
  <c r="AL5098" i="2"/>
  <c r="AL5152" i="2"/>
  <c r="AL5247" i="2"/>
  <c r="AL4939" i="2"/>
  <c r="AL4778" i="2"/>
  <c r="AL4677" i="2"/>
  <c r="AL4992" i="2"/>
  <c r="AL4929" i="2"/>
  <c r="AL4856" i="2"/>
  <c r="AL4840" i="2"/>
  <c r="AL4779" i="2"/>
  <c r="AL4733" i="2"/>
  <c r="AL4537" i="2"/>
  <c r="AL4515" i="2"/>
  <c r="AL4958" i="2"/>
  <c r="AL4926" i="2"/>
  <c r="AL4903" i="2"/>
  <c r="AL4896" i="2"/>
  <c r="AL4874" i="2"/>
  <c r="AL4836" i="2"/>
  <c r="AL4821" i="2"/>
  <c r="AL4817" i="2"/>
  <c r="AL4799" i="2"/>
  <c r="AL4730" i="2"/>
  <c r="AL4647" i="2"/>
  <c r="AL4588" i="2"/>
  <c r="AL4582" i="2"/>
  <c r="AL4997" i="2"/>
  <c r="AL4961" i="2"/>
  <c r="AL4944" i="2"/>
  <c r="AL4937" i="2"/>
  <c r="AL4923" i="2"/>
  <c r="AL4843" i="2"/>
  <c r="AL4811" i="2"/>
  <c r="AL4806" i="2"/>
  <c r="AL4789" i="2"/>
  <c r="AL4766" i="2"/>
  <c r="AL4751" i="2"/>
  <c r="AL4723" i="2"/>
  <c r="AL4604" i="2"/>
  <c r="AL4594" i="2"/>
  <c r="AL4506" i="2"/>
  <c r="AL4959" i="2"/>
  <c r="AL4911" i="2"/>
  <c r="AL4894" i="2"/>
  <c r="AL4956" i="2"/>
  <c r="AL4904" i="2"/>
  <c r="AL4884" i="2"/>
  <c r="AL4794" i="2"/>
  <c r="AL4656" i="2"/>
  <c r="AL4635" i="2"/>
  <c r="AL4580" i="2"/>
  <c r="AL4574" i="2"/>
  <c r="AL4548" i="2"/>
  <c r="AL4522" i="2"/>
  <c r="AL4449" i="2"/>
  <c r="AL4953" i="2"/>
  <c r="AL4935" i="2"/>
  <c r="AL4925" i="2"/>
  <c r="AL4921" i="2"/>
  <c r="AL4879" i="2"/>
  <c r="AL4770" i="2"/>
  <c r="AL4659" i="2"/>
  <c r="AL4645" i="2"/>
  <c r="AL4623" i="2"/>
  <c r="AL4619" i="2"/>
  <c r="AL4586" i="2"/>
  <c r="AL4650" i="2"/>
  <c r="AL4576" i="2"/>
  <c r="AL4572" i="2"/>
  <c r="AL4554" i="2"/>
  <c r="AL4529" i="2"/>
  <c r="AL4525" i="2"/>
  <c r="AL4412" i="2"/>
  <c r="AL4404" i="2"/>
  <c r="AL4394" i="2"/>
  <c r="AL4375" i="2"/>
  <c r="AL4254" i="2"/>
  <c r="AL4632" i="2"/>
  <c r="AL4526" i="2"/>
  <c r="AL4370" i="2"/>
  <c r="AL4671" i="2"/>
  <c r="AL4565" i="2"/>
  <c r="AL4500" i="2"/>
  <c r="AL4446" i="2"/>
  <c r="AL4419" i="2"/>
  <c r="AL4367" i="2"/>
  <c r="AL4362" i="2"/>
  <c r="AL4236" i="2"/>
  <c r="AL4643" i="2"/>
  <c r="AL4552" i="2"/>
  <c r="AL4442" i="2"/>
  <c r="AL4416" i="2"/>
  <c r="AL4413" i="2"/>
  <c r="AL4504" i="2"/>
  <c r="AL4100" i="2"/>
  <c r="AL4486" i="2"/>
  <c r="AL4479" i="2"/>
  <c r="AL4440" i="2"/>
  <c r="AL4414" i="2"/>
  <c r="AL4411" i="2"/>
  <c r="AL4400" i="2"/>
  <c r="AL4325" i="2"/>
  <c r="AL4302" i="2"/>
  <c r="AL4210" i="2"/>
  <c r="AL4178" i="2"/>
  <c r="AL4112" i="2"/>
  <c r="AL4246" i="2"/>
  <c r="AL4212" i="2"/>
  <c r="AL4292" i="2"/>
  <c r="AL4276" i="2"/>
  <c r="AL4087" i="2"/>
  <c r="AL4005" i="2"/>
  <c r="AL3963" i="2"/>
  <c r="AL3853" i="2"/>
  <c r="AL3762" i="2"/>
  <c r="AL3680" i="2"/>
  <c r="AL4358" i="2"/>
  <c r="AL4220" i="2"/>
  <c r="AL4066" i="2"/>
  <c r="AL3661" i="2"/>
  <c r="AL3333" i="2"/>
  <c r="AL4350" i="2"/>
  <c r="AL4070" i="2"/>
  <c r="AL4031" i="2"/>
  <c r="AL3971" i="2"/>
  <c r="AL3834" i="2"/>
  <c r="AL3763" i="2"/>
  <c r="AL3729" i="2"/>
  <c r="AL3538" i="2"/>
  <c r="AL4248" i="2"/>
  <c r="AL4214"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59" i="2" l="1"/>
  <c r="AM59" i="2" s="1"/>
  <c r="AL51" i="2"/>
  <c r="AM51" i="2" s="1"/>
  <c r="AL34" i="2"/>
  <c r="AM34" i="2" s="1"/>
  <c r="AL20" i="2"/>
  <c r="AM20" i="2" s="1"/>
  <c r="AL74" i="2"/>
  <c r="AL71" i="2"/>
  <c r="AL12" i="2"/>
  <c r="AM12" i="2" s="1"/>
  <c r="AL61" i="2"/>
  <c r="AM61" i="2" s="1"/>
  <c r="AL60" i="2"/>
  <c r="AM60" i="2" s="1"/>
  <c r="AL56" i="2"/>
  <c r="AM56" i="2" s="1"/>
  <c r="AL55" i="2"/>
  <c r="AM55" i="2" s="1"/>
  <c r="AL54" i="2"/>
  <c r="AM54" i="2" s="1"/>
  <c r="AL50" i="2"/>
  <c r="AL47" i="2"/>
  <c r="AM47" i="2" s="1"/>
  <c r="AL40" i="2"/>
  <c r="AL39" i="2"/>
  <c r="AM39" i="2" s="1"/>
  <c r="AL37" i="2"/>
  <c r="AM37" i="2" s="1"/>
  <c r="AL33" i="2"/>
  <c r="AM33" i="2" s="1"/>
  <c r="AL32" i="2"/>
  <c r="AM32" i="2" s="1"/>
  <c r="AL31" i="2"/>
  <c r="AM31" i="2" s="1"/>
  <c r="AL29" i="2"/>
  <c r="AM29" i="2" s="1"/>
  <c r="AL27" i="2"/>
  <c r="AM27" i="2" s="1"/>
  <c r="AL25" i="2"/>
  <c r="AM25" i="2" s="1"/>
  <c r="AL23" i="2"/>
  <c r="AM23" i="2" s="1"/>
  <c r="AL22" i="2"/>
  <c r="AM22" i="2" s="1"/>
  <c r="AL19" i="2"/>
  <c r="AM19" i="2" s="1"/>
  <c r="AL18" i="2"/>
  <c r="AM18" i="2" s="1"/>
  <c r="AL17" i="2"/>
  <c r="AM17" i="2" s="1"/>
  <c r="AL16" i="2"/>
  <c r="AL14" i="2"/>
  <c r="AM14" i="2" s="1"/>
  <c r="AL9" i="2"/>
  <c r="AM9" i="2" s="1"/>
  <c r="AL7" i="2"/>
  <c r="AM7" i="2" s="1"/>
  <c r="AL73" i="2"/>
  <c r="AL72" i="2"/>
  <c r="AL70" i="2"/>
  <c r="AL69" i="2"/>
  <c r="AL68" i="2"/>
  <c r="AM68" i="2" s="1"/>
  <c r="AL67" i="2"/>
  <c r="AM67" i="2" s="1"/>
  <c r="AL66" i="2"/>
  <c r="AM66" i="2" s="1"/>
  <c r="AL65" i="2"/>
  <c r="AM65" i="2" s="1"/>
  <c r="AL64" i="2"/>
  <c r="AM64" i="2" s="1"/>
  <c r="AL63" i="2"/>
  <c r="AM63" i="2" s="1"/>
  <c r="AL62" i="2"/>
  <c r="AM62" i="2" s="1"/>
  <c r="AL58" i="2"/>
  <c r="AM58" i="2" s="1"/>
  <c r="AL57" i="2"/>
  <c r="AM57" i="2" s="1"/>
  <c r="AL53" i="2"/>
  <c r="AM53" i="2" s="1"/>
  <c r="AL52" i="2"/>
  <c r="AM52" i="2" s="1"/>
  <c r="AL46" i="2"/>
  <c r="AM46" i="2" s="1"/>
  <c r="AL45" i="2"/>
  <c r="AL44" i="2"/>
  <c r="AM44" i="2" s="1"/>
  <c r="AL43" i="2"/>
  <c r="AM43" i="2" s="1"/>
  <c r="AL42" i="2"/>
  <c r="AM42" i="2" s="1"/>
  <c r="AL38" i="2"/>
  <c r="AM38" i="2" s="1"/>
  <c r="AL36" i="2"/>
  <c r="AM36" i="2" s="1"/>
  <c r="AL35" i="2"/>
  <c r="AM35" i="2" s="1"/>
  <c r="AL30" i="2"/>
  <c r="AL26" i="2"/>
  <c r="AL24" i="2"/>
  <c r="AM24" i="2" s="1"/>
  <c r="AL21" i="2"/>
  <c r="AL15" i="2"/>
  <c r="AL11" i="2"/>
  <c r="AM11" i="2" s="1"/>
  <c r="AL10" i="2"/>
  <c r="AL8" i="2"/>
  <c r="AM8" i="2" s="1"/>
  <c r="AL6" i="2"/>
  <c r="AM6" i="2" s="1"/>
  <c r="AL49" i="2"/>
  <c r="AM49" i="2" s="1"/>
  <c r="AL28" i="2"/>
  <c r="AM28" i="2" s="1"/>
  <c r="AL41" i="2"/>
  <c r="AM41" i="2" s="1"/>
  <c r="AL13" i="2"/>
  <c r="AM13" i="2" s="1"/>
  <c r="AL4470" i="2"/>
  <c r="AL4970" i="2"/>
  <c r="AL4963" i="2"/>
  <c r="AL4941" i="2"/>
  <c r="AL4928" i="2"/>
  <c r="AL4909" i="2"/>
  <c r="AL4889" i="2"/>
  <c r="AL4882" i="2"/>
  <c r="AL4845" i="2"/>
  <c r="AL4841" i="2"/>
  <c r="AL4812" i="2"/>
  <c r="AL4775" i="2"/>
  <c r="AL4761" i="2"/>
  <c r="AL4754" i="2"/>
  <c r="AL4725" i="2"/>
  <c r="AL4722" i="2"/>
  <c r="AL4701" i="2"/>
  <c r="AL4683" i="2"/>
  <c r="AL4672" i="2"/>
  <c r="AL4606" i="2"/>
  <c r="AL4595" i="2"/>
  <c r="AL4589" i="2"/>
  <c r="AL4567" i="2"/>
  <c r="AL4564" i="2"/>
  <c r="AL4524" i="2"/>
  <c r="AL4521" i="2"/>
  <c r="AL4490" i="2"/>
  <c r="AL4295" i="2"/>
  <c r="AL4117" i="2"/>
  <c r="AL3872" i="2"/>
  <c r="AL4859" i="2"/>
  <c r="AL4847" i="2"/>
  <c r="AL4831" i="2"/>
  <c r="AL4823" i="2"/>
  <c r="AL4801" i="2"/>
  <c r="AL4695" i="2"/>
  <c r="AL4676" i="2"/>
  <c r="AL4666" i="2"/>
  <c r="AL4651" i="2"/>
  <c r="AL4622" i="2"/>
  <c r="AL4600" i="2"/>
  <c r="AL4536" i="2"/>
  <c r="AL4514" i="2"/>
  <c r="AL4475" i="2"/>
  <c r="AL4467" i="2"/>
  <c r="AL4407" i="2"/>
  <c r="AL4228" i="2"/>
  <c r="AL2390" i="2"/>
  <c r="AL4993" i="2"/>
  <c r="AL4975" i="2"/>
  <c r="AL4918" i="2"/>
  <c r="AL4893" i="2"/>
  <c r="AL4887" i="2"/>
  <c r="AL4842" i="2"/>
  <c r="AL4809" i="2"/>
  <c r="AL4805" i="2"/>
  <c r="AL4795" i="2"/>
  <c r="AL4791" i="2"/>
  <c r="AL4737" i="2"/>
  <c r="AL4712" i="2"/>
  <c r="AL4705" i="2"/>
  <c r="AL4673" i="2"/>
  <c r="AL4655" i="2"/>
  <c r="AL4627" i="2"/>
  <c r="AL4618" i="2"/>
  <c r="AL4457" i="2"/>
  <c r="AL4757" i="2"/>
  <c r="AL4435" i="2"/>
  <c r="AL4998" i="2"/>
  <c r="AL4990" i="2"/>
  <c r="AL4919" i="2"/>
  <c r="AL4907" i="2"/>
  <c r="AL4868" i="2"/>
  <c r="AL4857" i="2"/>
  <c r="AL4828" i="2"/>
  <c r="AL4788" i="2"/>
  <c r="AL4713" i="2"/>
  <c r="AL4652" i="2"/>
  <c r="AL4631" i="2"/>
  <c r="AL4562" i="2"/>
  <c r="AL4547" i="2"/>
  <c r="AL4544" i="2"/>
  <c r="AL4491" i="2"/>
  <c r="AL4468" i="2"/>
  <c r="AL4458" i="2"/>
  <c r="AL4451" i="2"/>
  <c r="AL4430" i="2"/>
  <c r="AL4408" i="2"/>
  <c r="AL4356" i="2"/>
  <c r="AL3499" i="2"/>
  <c r="AL3443" i="2"/>
  <c r="AL4983" i="2"/>
  <c r="AL4950" i="2"/>
  <c r="AL4915" i="2"/>
  <c r="AL4901" i="2"/>
  <c r="AL4888" i="2"/>
  <c r="AL4881" i="2"/>
  <c r="AL4760" i="2"/>
  <c r="AL4749" i="2"/>
  <c r="AL4732" i="2"/>
  <c r="AL4727" i="2"/>
  <c r="AL4702" i="2"/>
  <c r="AL4674" i="2"/>
  <c r="AL4616" i="2"/>
  <c r="AL4584" i="2"/>
  <c r="AL4507" i="2"/>
  <c r="AL4497" i="2"/>
  <c r="AL4480" i="2"/>
  <c r="AL4473" i="2"/>
  <c r="AL4465" i="2"/>
  <c r="AL4409" i="2"/>
  <c r="AL4364" i="2"/>
  <c r="AL4320" i="2"/>
  <c r="AL4186" i="2"/>
  <c r="AL4170" i="2"/>
  <c r="AL3743" i="2"/>
  <c r="AL4641" i="2"/>
  <c r="AL4972" i="2"/>
  <c r="AL4940" i="2"/>
  <c r="AL4814" i="2"/>
  <c r="AL4767" i="2"/>
  <c r="AL4763" i="2"/>
  <c r="AL4746" i="2"/>
  <c r="AL4721" i="2"/>
  <c r="AL4693" i="2"/>
  <c r="AL4660" i="2"/>
  <c r="AL4598" i="2"/>
  <c r="AL4530" i="2"/>
  <c r="AL4508" i="2"/>
  <c r="AL4323" i="2"/>
  <c r="AL4199" i="2"/>
  <c r="AL3517" i="2"/>
  <c r="AL3099" i="2"/>
  <c r="AL4988" i="2"/>
  <c r="AL4965" i="2"/>
  <c r="AL4934" i="2"/>
  <c r="AL4902" i="2"/>
  <c r="AL4898" i="2"/>
  <c r="AL4878" i="2"/>
  <c r="AL4851" i="2"/>
  <c r="AL4834" i="2"/>
  <c r="AL4803" i="2"/>
  <c r="AL4793" i="2"/>
  <c r="AL4790" i="2"/>
  <c r="AL4774" i="2"/>
  <c r="AL4744" i="2"/>
  <c r="AL4703" i="2"/>
  <c r="AL4657" i="2"/>
  <c r="AL4628" i="2"/>
  <c r="AL4613" i="2"/>
  <c r="AL4602" i="2"/>
  <c r="AL4559" i="2"/>
  <c r="AL4538" i="2"/>
  <c r="AL4535" i="2"/>
  <c r="AL4523" i="2"/>
  <c r="AL4495" i="2"/>
  <c r="AL4477" i="2"/>
  <c r="AL4474" i="2"/>
  <c r="AL4274" i="2"/>
  <c r="AL4194" i="2"/>
  <c r="AL3414" i="2"/>
  <c r="AL4360" i="2"/>
  <c r="AL4270" i="2"/>
  <c r="AL4244" i="2"/>
  <c r="AL3993" i="2"/>
  <c r="AL3976" i="2"/>
  <c r="AL3948" i="2"/>
  <c r="AL3927" i="2"/>
  <c r="AL3900" i="2"/>
  <c r="AL3735" i="2"/>
  <c r="AL3728" i="2"/>
  <c r="AL3465" i="2"/>
  <c r="AL3382" i="2"/>
  <c r="AL3253" i="2"/>
  <c r="AL4371" i="2"/>
  <c r="AL4306" i="2"/>
  <c r="AL4265" i="2"/>
  <c r="AL3956" i="2"/>
  <c r="AL3835" i="2"/>
  <c r="AL3832" i="2"/>
  <c r="AL3825" i="2"/>
  <c r="AL3755" i="2"/>
  <c r="AL3740" i="2"/>
  <c r="AL3726" i="2"/>
  <c r="AL3712" i="2"/>
  <c r="AL3672" i="2"/>
  <c r="AL3360" i="2"/>
  <c r="AL4462" i="2"/>
  <c r="AL4383" i="2"/>
  <c r="AL4354" i="2"/>
  <c r="AL4280" i="2"/>
  <c r="AL4269" i="2"/>
  <c r="AL4250" i="2"/>
  <c r="AL4222" i="2"/>
  <c r="AL4208" i="2"/>
  <c r="AL4122" i="2"/>
  <c r="AL3953" i="2"/>
  <c r="AL3947" i="2"/>
  <c r="AL3771" i="2"/>
  <c r="AL3764" i="2"/>
  <c r="AL3716" i="2"/>
  <c r="AL3492" i="2"/>
  <c r="AL3363" i="2"/>
  <c r="AL3300" i="2"/>
  <c r="AL4402" i="2"/>
  <c r="AL4347" i="2"/>
  <c r="AL4311" i="2"/>
  <c r="AL4195" i="2"/>
  <c r="AL4145" i="2"/>
  <c r="AL4072" i="2"/>
  <c r="AL3950" i="2"/>
  <c r="AL3884" i="2"/>
  <c r="AL3790" i="2"/>
  <c r="AL3741" i="2"/>
  <c r="AL3695" i="2"/>
  <c r="AL3552" i="2"/>
  <c r="AL3530" i="2"/>
  <c r="AL3493" i="2"/>
  <c r="AL3468" i="2"/>
  <c r="AL3467" i="2"/>
  <c r="AL3353" i="2"/>
  <c r="AL3344" i="2"/>
  <c r="AL4450" i="2"/>
  <c r="AL4426" i="2"/>
  <c r="AL4406" i="2"/>
  <c r="AL4403" i="2"/>
  <c r="AL4380" i="2"/>
  <c r="AL4376" i="2"/>
  <c r="AL4304" i="2"/>
  <c r="AL4289" i="2"/>
  <c r="AL4084" i="2"/>
  <c r="AL3915" i="2"/>
  <c r="AL3892" i="2"/>
  <c r="AL3548" i="2"/>
  <c r="AL3535" i="2"/>
  <c r="AL3531" i="2"/>
  <c r="AL3378" i="2"/>
  <c r="AL3307" i="2"/>
  <c r="AL2454" i="2"/>
  <c r="AL3328" i="2"/>
  <c r="AL3306" i="2"/>
  <c r="AL3005" i="2"/>
  <c r="AL2759" i="2"/>
  <c r="AL2542" i="2"/>
  <c r="AL2608" i="2"/>
  <c r="AL3018" i="2"/>
  <c r="AL2663" i="2"/>
  <c r="AL2674" i="2"/>
  <c r="AL2622" i="2"/>
  <c r="AL2557" i="2"/>
  <c r="AL2530" i="2"/>
  <c r="AL2432" i="2"/>
  <c r="AL2606" i="2"/>
  <c r="AL2545" i="2"/>
  <c r="AL2630" i="2"/>
  <c r="AL2544" i="2"/>
  <c r="AL2479" i="2"/>
  <c r="AL2224" i="2"/>
  <c r="AL2767" i="2"/>
  <c r="AL2722" i="2"/>
  <c r="AL2637" i="2"/>
  <c r="AL2584" i="2"/>
  <c r="AL2571" i="2"/>
  <c r="AL2522" i="2"/>
  <c r="AL2438" i="2"/>
  <c r="AL2414" i="2"/>
  <c r="AL2355" i="2"/>
  <c r="AL2204" i="2"/>
  <c r="AL2175" i="2"/>
  <c r="AL2029" i="2"/>
  <c r="AL2004" i="2"/>
  <c r="AL1544" i="2"/>
  <c r="AL2366" i="2"/>
  <c r="AL2066" i="2"/>
  <c r="AL2006" i="2"/>
  <c r="AL1588" i="2"/>
  <c r="AL2462" i="2"/>
  <c r="AL1818" i="2"/>
  <c r="AL2416" i="2"/>
  <c r="AL2364" i="2"/>
  <c r="AL2353" i="2"/>
  <c r="AL2295" i="2"/>
  <c r="AL2199" i="2"/>
  <c r="AL2091" i="2"/>
  <c r="AL1649" i="2"/>
  <c r="AL1486" i="2"/>
  <c r="AL2430" i="2"/>
  <c r="AL2357" i="2"/>
  <c r="AL2334" i="2"/>
  <c r="AL2124" i="2"/>
  <c r="AL1883" i="2"/>
  <c r="AL1411" i="2"/>
  <c r="AL1308" i="2"/>
  <c r="AL1455" i="2"/>
  <c r="AL1173" i="2"/>
  <c r="AL998" i="2"/>
  <c r="AL967" i="2"/>
  <c r="AL1314" i="2"/>
  <c r="AL947" i="2"/>
  <c r="AL5082" i="2"/>
  <c r="AL445" i="2"/>
  <c r="AL983" i="2"/>
  <c r="AL597" i="2"/>
  <c r="AL168" i="2"/>
  <c r="AL1001" i="2"/>
  <c r="AL950" i="2"/>
  <c r="AL5118" i="2"/>
  <c r="AL179" i="2"/>
  <c r="AL324" i="2"/>
  <c r="AL253" i="2"/>
  <c r="AL292" i="2"/>
  <c r="AL169" i="2"/>
  <c r="AL5227" i="2"/>
  <c r="AL163" i="2"/>
  <c r="AL48"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<sst xmlns="http://schemas.openxmlformats.org/spreadsheetml/2006/main" count="1074" uniqueCount="263">
  <si>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</si>
  <si>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</si>
  <si>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</si>
  <si>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</si>
  <si>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</si>
  <si>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</si>
  <si>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</si>
  <si>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</si>
  <si>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</si>
  <si>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</si>
  <si>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</si>
  <si>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</si>
  <si>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</si>
  <si>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</si>
  <si>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</si>
  <si>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</si>
  <si>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</si>
  <si>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</si>
  <si>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</si>
  <si>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</si>
  <si>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</si>
  <si>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</si>
  <si>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</si>
  <si>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</si>
  <si>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</si>
  <si>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</si>
  <si>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</si>
  <si>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</si>
  <si>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</si>
  <si>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</si>
  <si>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</si>
  <si>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</si>
  <si>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</si>
  <si>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</si>
  <si>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</si>
  <si>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</si>
  <si>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</si>
  <si>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</si>
  <si>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</si>
  <si>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</si>
  <si>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</si>
  <si>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</si>
  <si>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</si>
  <si>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</si>
  <si>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</si>
  <si>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</si>
  <si>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</si>
  <si>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</si>
  <si>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</si>
  <si>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</si>
  <si>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</si>
  <si>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</si>
  <si>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</si>
  <si>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</si>
  <si>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</si>
  <si>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</si>
  <si>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</si>
  <si>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</si>
  <si>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</si>
  <si>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</si>
  <si>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</si>
  <si>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</si>
  <si>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</si>
  <si>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</si>
  <si>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</si>
  <si>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</si>
  <si>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</si>
  <si>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</si>
  <si>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</si>
  <si>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</si>
  <si>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</si>
  <si>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</si>
  <si>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</si>
  <si>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</si>
  <si>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</si>
  <si>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</si>
  <si>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</si>
  <si>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</si>
  <si>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</si>
  <si>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</si>
  <si>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</si>
  <si>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</si>
  <si>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</si>
  <si>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</si>
  <si>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</si>
  <si>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</si>
  <si>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</si>
  <si>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</si>
  <si>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</si>
  <si>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</si>
  <si>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</si>
  <si>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</si>
  <si>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Closed Bottom Structure</t>
  </si>
  <si>
    <t>Round Culvert</t>
  </si>
  <si>
    <t>No</t>
  </si>
  <si>
    <t>Yes</t>
  </si>
  <si>
    <t>Deep Fill</t>
  </si>
  <si>
    <t>Low</t>
  </si>
  <si>
    <t>Medium</t>
  </si>
  <si>
    <t>Altezega Creek</t>
  </si>
  <si>
    <t>Oval Culvert</t>
  </si>
  <si>
    <t>High</t>
  </si>
  <si>
    <t>Unknown</t>
  </si>
  <si>
    <t>Other</t>
  </si>
  <si>
    <t>Tsatchuka Creek</t>
  </si>
  <si>
    <t>Highway 97</t>
  </si>
  <si>
    <t>Whiskers Creek</t>
  </si>
  <si>
    <t>Open Bottom Structure</t>
  </si>
  <si>
    <t>Bridge</t>
  </si>
  <si>
    <t>MW</t>
  </si>
  <si>
    <t>Miller Creek</t>
  </si>
  <si>
    <t>Summit Lake Rd</t>
  </si>
  <si>
    <t>O'Dell Creek</t>
  </si>
  <si>
    <t>Neilson Creek</t>
  </si>
  <si>
    <t>Caine Creek FSR</t>
  </si>
  <si>
    <t>Witters Creek</t>
  </si>
  <si>
    <t>Railway</t>
  </si>
  <si>
    <t>Tributary to Crooked River</t>
  </si>
  <si>
    <t>Davie-Bear Lake FSR</t>
  </si>
  <si>
    <t>AI</t>
  </si>
  <si>
    <t xml:space="preserve">MOTI          </t>
  </si>
  <si>
    <t>42 Mile Creek</t>
  </si>
  <si>
    <t>Kerry FSR</t>
  </si>
  <si>
    <t>Tributary to Altezega Creek</t>
  </si>
  <si>
    <t>Firth Lake FSR</t>
  </si>
  <si>
    <t>Tributary to Weedon Creek</t>
  </si>
  <si>
    <t>Tributary to Weedon Lake</t>
  </si>
  <si>
    <t>Tributary to Davie Lake</t>
  </si>
  <si>
    <t>Davie Lake FSR</t>
  </si>
  <si>
    <t>AI JD TS BP</t>
  </si>
  <si>
    <t xml:space="preserve">Tributary to Hammett Creek          </t>
  </si>
  <si>
    <t>Al</t>
  </si>
  <si>
    <t>Carp Lake FSR</t>
  </si>
  <si>
    <t>Davie-War FSR</t>
  </si>
  <si>
    <t>AI TS</t>
  </si>
  <si>
    <t>David Lake FSR</t>
  </si>
  <si>
    <t>Spur</t>
  </si>
  <si>
    <t>AI MD</t>
  </si>
  <si>
    <t>Davie-Muskeg FSR</t>
  </si>
  <si>
    <t>Al MD</t>
  </si>
  <si>
    <t xml:space="preserve">Tributary to Crooked River </t>
  </si>
  <si>
    <t>Tributary to McLeod Lake</t>
  </si>
  <si>
    <t>Tributary to 42 Mile Creek</t>
  </si>
  <si>
    <t>Unnamed</t>
  </si>
  <si>
    <t xml:space="preserve">MW </t>
  </si>
  <si>
    <t>Teapot Creek</t>
  </si>
  <si>
    <t>Balsam Creek</t>
  </si>
  <si>
    <t>Enquist Creek</t>
  </si>
  <si>
    <t>Tributary to Boot Lake</t>
  </si>
  <si>
    <t xml:space="preserve">Firth Lake FSR </t>
  </si>
  <si>
    <t>Redrocky Creek</t>
  </si>
  <si>
    <t>Copper Creek</t>
  </si>
  <si>
    <t>Tributary to McLeod lake</t>
  </si>
  <si>
    <t>Tributary to Kerry Lake</t>
  </si>
  <si>
    <t>MW MD</t>
  </si>
  <si>
    <t>Davie-Weedon Lake FSR</t>
  </si>
  <si>
    <t>MW MD JD BD</t>
  </si>
  <si>
    <t>Tributary to Hammett Creek</t>
  </si>
  <si>
    <t xml:space="preserve">Davie-Weedon Lake FSR          </t>
  </si>
  <si>
    <t>David-Weedon Lake FSR</t>
  </si>
  <si>
    <t>MW TS JD BP</t>
  </si>
  <si>
    <t>Tributary  to McLeod Lake</t>
  </si>
  <si>
    <t xml:space="preserve">Pipeline </t>
  </si>
  <si>
    <t>Highway  97</t>
  </si>
  <si>
    <t>Lincoln Creek</t>
  </si>
  <si>
    <t>Campground Rd</t>
  </si>
  <si>
    <t>Chuchinka-Red Rocky FSR</t>
  </si>
  <si>
    <t>Replace with New Open Bottom Structure</t>
  </si>
  <si>
    <t>Replace Structure with Streambed Simulation CBS</t>
  </si>
  <si>
    <t>MOTI</t>
  </si>
  <si>
    <t>Unclassified</t>
  </si>
  <si>
    <t>MOE</t>
  </si>
  <si>
    <t>MOTI Local</t>
  </si>
  <si>
    <t>Canfor R02852</t>
  </si>
  <si>
    <t>CN Rail</t>
  </si>
  <si>
    <t>MOF 7719</t>
  </si>
  <si>
    <t>MOF 8270</t>
  </si>
  <si>
    <t>MOF 8385</t>
  </si>
  <si>
    <t>Canfor R01859</t>
  </si>
  <si>
    <t>Canfor R01860</t>
  </si>
  <si>
    <t>B.C. Custom Timber Products Ltd.</t>
  </si>
  <si>
    <t>MOF 7694</t>
  </si>
  <si>
    <t>MOF 5506</t>
  </si>
  <si>
    <t>peace_2023_Phase1</t>
  </si>
  <si>
    <t>Restoring Fish Passage in our Peace Region 2023 - Phase 1</t>
  </si>
  <si>
    <t>00180607</t>
  </si>
  <si>
    <t>Al Irvine</t>
  </si>
  <si>
    <t>250-777-1518</t>
  </si>
  <si>
    <t>al@newgraphenvironment.com</t>
  </si>
  <si>
    <t>00198456</t>
  </si>
  <si>
    <t>Canfor R02875</t>
  </si>
  <si>
    <t>Winton Global Lumber Ltd.</t>
  </si>
  <si>
    <t>No water in culvert. Some water near inlet and outlet. Stream dewaters downstream again after ~20m. Burbot have been caught in the past approximately 700m upstream of the highway. Wide channel with small lakes and ponds upstream. chris_culvert_id: 1997081. 11:52:21</t>
  </si>
  <si>
    <t>Grate on inlet. Backwatered and big wetland area upstream. Difficult to determine where stream is, width and gradient estimated.  chris_culvert_id: 1997003. 12:41:10</t>
  </si>
  <si>
    <t>Enormous outlet pool indicating culvert may be undersized. Numerous fish spotted in outlet pool and inlet side. Debris jams covering entire stream channel at inlet and at outlet of outlet pool. Pool very deep, depth estimated. chris_hwy_structure_road_id: 3759. 13:35:05</t>
  </si>
  <si>
    <t>Very little flow through culvert. Overgrown channel. Very little water in stream. Not likely fish bearing. chris_culvert_id: 1996752. 14:05:09</t>
  </si>
  <si>
    <t>Fish spotted in culvert and near inlet. Some substrate and cobbles in pipe.  chris_hwy_structure_road_id: 2434. 14:47:11</t>
  </si>
  <si>
    <t>High habitat quality. Old quad trail. Small trib flowing into creek from one side. 15:08:17</t>
  </si>
  <si>
    <t>Stream is located between McLeod Lake Store on Highway and TseKhene food and fuel entrance. Most of the watershed drains reservation land. Could potentially be backwatered as an interim solution. Channel width estimated upstream in wetland type habitat so difficult to tell. Upstream end of the pipe is significantly sloped in the upstream direction. chris_culvert_id: 1997114. 12:31:49</t>
  </si>
  <si>
    <t>Grate on inlet and beaver influenced wetland upstream.  Inlet blocked by beaver debris with beaver trap on inlet.  Potentially good candidate for leveler to maintain beaver activity without attempting to remove the animals. chris_culvert_id: 1997066. 13:04:57</t>
  </si>
  <si>
    <t>Abundant gravels, suitable for spawning upstream. Although flows are minimal, the streams does still have water.  Models as having over 3 km of habitat upstream below 5%. Although no fish are recorded as present upstream it seems highly likely that this would be a fish bearing stream. Outlet drop is 80cm.  Steep section of pipe at the inlet recorded as inlet drop. chris_culvert_id: 1996852. 13:40:04</t>
  </si>
  <si>
    <t>Culvert is extremely under sized. Nice stream with pockets of gravel and good flow upstream. Rainbow known in the system. Culvert is literally unravelling at the downstream end with a very large outlet pool. Beaver activity noted downstream. Seems very unlikely that any fish can pass through the pipe. chris_culvert_id: 1996861. 14:23:42</t>
  </si>
  <si>
    <t>Nice little campground bridge. 15:20:36</t>
  </si>
  <si>
    <t>There are four bridges in total within 200m, with 2 inventoried. 15:32:10</t>
  </si>
  <si>
    <t>Beaver activity downstream with extensive beaver influence wetlands upstream. 1 1/2 m high blockage at the inlet to to beaver activity. Stream width difficult to estimate due to wetland nature of habitat upstream. This is the first road stream crossing on this stream to be an issue at all downstream, crossings or bridges within whiskers point provincial park campground. chris_culvert_id: 1997172. 16:05:30</t>
  </si>
  <si>
    <t>Culvert is fully submerged on outlet side. No stream found beyond outlet pool. Big wetland complex on upstream side. No defined channel. Stream slope, channel width, and culvert slope were estimated. chris_culvert_id: 1996888. 11:04:17</t>
  </si>
  <si>
    <t>Beaver grate on inlet side. Big wetland area upstream and no defined stream channel seen. Some flow downstream. Very little flow through pipe. There is an unassessed crossing upstream, on railway (modelled crossing id 3703407). chris_culvert_id: 3440699. 11:56:39</t>
  </si>
  <si>
    <t>Debris jam at inlet creating small drop. Large wetland area upstream and downstream. No well defined channel. Burbot confirmed just upstream in the past, as well as downstream near Summit Lake. chris_culvert_id: 1996948. 12:35:23</t>
  </si>
  <si>
    <t>Neilsen Lake dam located approximately 30m upstream of bridge, near outlet of lake. Metal dam 1.8m in height and owned by Ministry of Environment.   13:08:06</t>
  </si>
  <si>
    <t>Culvert is in very bad condition. Debris jam blocking inlet, likely beaver caused.. Stream habitat is ok, some deep pools and abundant riparian vegetation. 13:51:42</t>
  </si>
  <si>
    <t>No visible channel upstream. Very little flow through culvert. Some water and cobbles at outlet. chris_culvert_id: 1997258. 14:42:45</t>
  </si>
  <si>
    <t>Small amount of water in pipe. Channel is overgrown downstream. Almost no flow in stream. 15:01:34</t>
  </si>
  <si>
    <t>Wetland habitat, no flow. No culvert found south where modelled crossing is supposed to be on map. chris_culvert_id: 1997273. 15:40:25</t>
  </si>
  <si>
    <t>Burbot and bull trout confirmed upstream in past. Wetland upstream. 16:24:42</t>
  </si>
  <si>
    <t>Two pipes. Big wetland upstream and downstream. No well defined channel. chris_culvert_id: 1997232. 16:47:59</t>
  </si>
  <si>
    <t>Backwatered, wetland downstream. Culvert is rusted. Four small lakes upstream, including Augustine, Log, and Cloud Lake. Fish presence confirmed in Augustine Lake (RB, SU, NSC and RSC). Unassessed crossing (modelled id 3703412)  located downstream of highway on railway, near the confluence with Crooked River. chris_culvert_id: 1997146. 17:17:30</t>
  </si>
  <si>
    <t>100% backwatered culvert with lots of beaver activity and wetland area upstream. Inlet drop is created by beaver generated shrub material so backwatering is happening. However, there is a step of approximately 0.6 m at the top end of the pipe. Black algae throughout channel downstream.  Downstream channel appears to be constructed of rock at approximately 3.8 m wide before entering more beaverdam influenced wetland habitat. chris_culvert_id: 1996976. 12:08:15</t>
  </si>
  <si>
    <t>Armoured ford on pipeline. Immediately downstream of highway. 12:36:50</t>
  </si>
  <si>
    <t xml:space="preserve"> 0.5 m pipe is stuffed inside of the sleeve of a larger older pipe. Beaver trap located at inlet. Burbot have been observed upstream in the past. Inlet almost completely blocked by beaver debris, as well as human placed sticks and beaver trap. Significant road prism erosion on upstream side of pipe as well as immediately adjacent to outlet. chris_culvert_id: 1997085. 13:05:45</t>
  </si>
  <si>
    <t>Nice stream with good flow and abundant gravel, suitably sized for spawning. Culvert is 100% backwatered and fully embedded. It appears as though there have been some very high flow events that have moved significant amounts of gravel, substrate, upstream and downstream. See photos. Channel seems overly straight and deep so suspect machine work has been done to dredge out the crossing, upstream and downstream. chris_culvert_id: 1997302. 13:37:33</t>
  </si>
  <si>
    <t>Newly installed horizontally drilled culvert. Stream dry at the time of assessment. Partially vegetated channel upstream, and downstream indicates that the system has not flowed heavily perennially for some time. Wetland type habitat upstream with nice gravels and classic stream character downstream.  Baffles installed within the pipe. Approximately 1/3 of the pipe is blocked from beaver debris near inlet.  chris_culvert_id: 1997288. 14:12:18</t>
  </si>
  <si>
    <t>Very nice stream with good flows an abundant gravel. Healthy riparian with evidence of beaver activity, including dam, approximately 5 m downstream of outlet which has backwatered the entire structure, including the outlet of the pipe, which is approximately 10 cm below the surface. It appears as though the crossing has been dredged with a machine recently, both upstream and downstream to deal with substrate deposition. There is pavement armouring the inlet area of the road prism. chris_culvert_id: 1997018. 15:14:21</t>
  </si>
  <si>
    <t xml:space="preserve"> Small stream with extremely long pipe, in very bad shape. End of pipe is unravelling with evidence of machine work at the outlet. Grate on inlet is off of pipe. Appears there has been dredging both upstream and downstream. Large area of clear-cut land upstream.
 chris_culvert_id: 1997177. 15:50:45</t>
  </si>
  <si>
    <t xml:space="preserve"> Unlikely a fish bearing stream. Dry at the time of assessment. 17:02:49</t>
  </si>
  <si>
    <t>Nice little stream with decent flow for this time of year. Pockets of gravel throughout and healthy shrub and mixed riparian. Fish presence unknown, but seems likely due to proximity to Kerry lake with low gradients. 17:14:13</t>
  </si>
  <si>
    <t>Stream dry at time of survey. Appears to be a fairly large system with abundant gravels present throughout. Estimated 200 to 300 m of lower gradient habitat upstream that could be useful for downstream populations in the spring. Huge outlet drop and very large dry pool indicating pipe is undersized. 17:40:54</t>
  </si>
  <si>
    <t>High habitat value upstream. Many fish spotted in outlet pool. Tributary to big system. Culvert old and not in great shape. Needs to be replaced. Debris jam at inlet blocking small section of flow. 08:57:52</t>
  </si>
  <si>
    <t>Bridge over wetland drainage area. Channel dry at time of assessment. Not a mapped stream but a wetland area upstream of the highway. 08:39:05</t>
  </si>
  <si>
    <t>No clear defined channel. Gradient and channel width could not be determined. Dewatered stream. Small, old culvert. 13:07:58</t>
  </si>
  <si>
    <t>Big beaver dam directly on inlet side, with beaver cage in front of dam (on upstream side). Wetland habitat downstream. Road is caved in on top of culvert. 14:07:02</t>
  </si>
  <si>
    <t>Two culverts of equal length. Debris blockage on inlet side of both pipes. Some flow through culvert. Right culvert is caved in near inlet. 14:48:50</t>
  </si>
  <si>
    <t>Big outlet drop with big outlet pool. Perched culvert, small, overgrown stream channel. 16:40:11</t>
  </si>
  <si>
    <t>High habitat value. Good flowing stream. 17:28:58</t>
  </si>
  <si>
    <t>Dewatered channel. Very overgrown and no clear channel. Channel width and gradient estimated.  17:53:54</t>
  </si>
  <si>
    <t>Stream dry at the time of assessment. This is a larger system during runoff with abundant gravels present suitable for rainbow spawning. Old pipe located downstream of the crossing proximately 20 m. Healthy riparian mixed forest. 13:18:06</t>
  </si>
  <si>
    <t>Ford. Deep deactivation will block all ATV access. 13:47:04</t>
  </si>
  <si>
    <t>Small stream with dry, mostly vegetated channel indicating stream rarely flows. Very unlikely that fish try to access upstream of the road. 14:08:49</t>
  </si>
  <si>
    <t xml:space="preserve"> Ford. Deactivated road with ATV drive around. 15:39:47</t>
  </si>
  <si>
    <t>Large wetland areas, upstream and downstream. Culvert appears to have settled in the middle with raised inlet and outlet. Beaverdam over 1 m high located just upstream of inlet. 16:05:32</t>
  </si>
  <si>
    <t>Good flowing stream with abundant gravels. 17:30:20</t>
  </si>
  <si>
    <t>Abundant gravel downstream. Minimal flow but channel is well defined indicating it flows for most of the year. Crossing modelled as just upstream a couple hundred metres does not exist, and should be entered into bcfishpass. 17:53:50</t>
  </si>
  <si>
    <t>Three pipes. Stream is completely dewatered. No water flowing through culvert. Culvert diameter totaled between three.  10:20:43</t>
  </si>
  <si>
    <t>Huge beaver wetland complex just upstream of crossing. Dams on both sides of crossing. Old bridge that is separated in the middle, impassable by vehicle. 14:09:51</t>
  </si>
  <si>
    <t>Surprisingly large drainage with good flow. Huge outlet drop and pipe is in very bad shape. Extra 3 m of culvert has been added to the downstream side and is sloping the opposite direction to draining. Large amounts of algae in the channel downstream. Massive amounts of erosion in the downstream channel indicating there are very high flows during runoff. Upstream side of pipe is completely blocked by a beaver dam, creating a wetland upstream. 09:51:08</t>
  </si>
  <si>
    <t>Pipe is in extremely bad condition. There are collapsed sections at the edge of the road prism both upstream and downstream. The inlet of the pipe is elevated well above the stream surface as the centre of the pipe has been pressed down by the road fill overtime. Lots of flow must be going underneath the pipe.  Large system with decent flow. Some gravels suitable for spawning downstream. 10:35:13</t>
  </si>
  <si>
    <t>Low gradient wetland type habitat with fine substrates upstream. Decent size drainage with some water in the channel but no actual flow.  Some gravels downstream. Pipe is separating approximately 5 m downstream from the inlet. 11:20:00</t>
  </si>
  <si>
    <t>Small culvert within the campground area. Approximately 40 m upstream of the mouth of the lake. 15:29:22</t>
  </si>
  <si>
    <t>Small stream with some flow. 11:37:53</t>
  </si>
  <si>
    <t>Very small culvert, dewatered. No well defined channel present. Channel width and slope estimated. Main flow of stream likely goes under bridge nearby. 11:52:39</t>
  </si>
  <si>
    <t>Wetland upstream and downstream. Stream gradient estimated. No water in culvert, dewatered downstream near crossing. Blockage at inlet from beaver mud dam. Steep embankment above culvert, risk of rockslide high. Big sacks on inlet and outlet holding embankment in place. Lake chub and brassy minnow confirmed in the past near highway. 12:31:41</t>
  </si>
  <si>
    <t>Very little flow and water at time of survey. Huge downed trees on downstream side. 13:41:31</t>
  </si>
  <si>
    <t>Culvert was in wrong location on map. It is actually located on road approximately 95m east of modelled crossing location. A lot of fry fish spotted near outlet. Culvert very rusted and near the end of its life. Small channel upstream running along road for 20m but no defined channel after that. 14:02:57</t>
  </si>
  <si>
    <t>Fry and parr spotted upstream and downstream of crossing. Culvert very rusted on inlet side. Wetland habitat upstream. Channel narrows downstream and is a little overgrown but has moderate flow. Enquist Lake located upstream. 14:41:51</t>
  </si>
  <si>
    <t>Stream is dewatered. No clearly defined channel up or downstream. Small tree growing on inlet side, sign that there hasn't been water flowing in a long time. Channel width and slope estimated. 15:19:23</t>
  </si>
  <si>
    <t>Looks like there was once a very old bridge here. Very overgrown and rotten. Water passing underneath but not flowing. Not a fish passage issue. 15:38:42</t>
  </si>
  <si>
    <t>Two culverts, one plastic pipe and one really old metal pipe. Metal pipe is longer, outlets are at different spots.  11:58:55</t>
  </si>
  <si>
    <t>No water flowing under bridge at time of survey. Dewatered downstream. 12:46:41</t>
  </si>
  <si>
    <t>Nice looking stream with good flow. 12:52:35</t>
  </si>
  <si>
    <t>Dewatered stream at time of survey. 13:05:36</t>
  </si>
  <si>
    <t>Wetland upstream and downstream. No flowing water under bridge. 13:15:29</t>
  </si>
  <si>
    <t>Small lake upstream. Modelled crossing was in wrong location. 13:32:39</t>
  </si>
  <si>
    <t>Nice stream with lots of water at time of survey. 14:30:26</t>
  </si>
  <si>
    <t>Ford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</si>
</sst>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49" fontId="0" fillId="0" borderId="0" xfId="0" applyNumberFormat="1"/>
    <xf numFmtId="0" fontId="22" fillId="0" borderId="0" xfId="1" applyAlignment="1" applyProtection="1"/>
    <xf numFmtId="2" fontId="0" fillId="0" borderId="0" xfId="0" applyNumberFormat="1" applyAlignment="1" applyProtection="1">
      <alignment horizontal="right"/>
      <protection locked="0"/>
    </xf>
    <xf numFmtId="1" fontId="1" fillId="0" borderId="0" xfId="3" applyNumberFormat="1" applyProtection="1">
      <protection locked="0"/>
    </xf>
    <xf numFmtId="2" fontId="5" fillId="0" borderId="0" xfId="2" applyNumberFormat="1" applyAlignment="1" applyProtection="1">
      <alignment horizontal="right"/>
      <protection locked="0"/>
    </xf>
    <xf numFmtId="2" fontId="1" fillId="0" borderId="0" xfId="3" applyNumberFormat="1" applyProtection="1">
      <protection locked="0"/>
    </xf>
    <xf numFmtId="0" fontId="0" fillId="10" borderId="0" xfId="0" applyFill="1"/>
    <xf numFmtId="0" fontId="1" fillId="0" borderId="0" xfId="3" applyProtection="1">
      <protection locked="0"/>
    </xf>
    <xf numFmtId="0" fontId="5" fillId="0" borderId="0" xfId="2" applyProtection="1">
      <protection locked="0"/>
    </xf>
    <xf numFmtId="2" fontId="5" fillId="0" borderId="0" xfId="2" applyNumberFormat="1" applyProtection="1">
      <protection locked="0"/>
    </xf>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6" t="s">
        <v>90</v>
      </c>
    </row>
    <row r="9" spans="1:20" x14ac:dyDescent="0.25">
      <c r="A9" s="36"/>
      <c r="B9" s="33"/>
    </row>
    <row r="10" spans="1:20" ht="45" x14ac:dyDescent="0.25">
      <c r="A10" s="23" t="s">
        <v>55</v>
      </c>
      <c r="B10" s="76" t="s">
        <v>88</v>
      </c>
    </row>
    <row r="11" spans="1:20" ht="105" x14ac:dyDescent="0.25">
      <c r="A11" s="23"/>
      <c r="B11" s="53" t="s">
        <v>77</v>
      </c>
    </row>
    <row r="12" spans="1:20" ht="60" x14ac:dyDescent="0.25">
      <c r="A12" s="36"/>
      <c r="B12" s="49" t="s">
        <v>78</v>
      </c>
    </row>
    <row r="13" spans="1:20" ht="30" x14ac:dyDescent="0.25">
      <c r="A13" s="36"/>
      <c r="B13" s="56" t="s">
        <v>79</v>
      </c>
    </row>
    <row r="14" spans="1:20" x14ac:dyDescent="0.25">
      <c r="A14" s="36"/>
      <c r="B14" s="48"/>
    </row>
    <row r="15" spans="1:20" ht="402.6" customHeight="1" x14ac:dyDescent="0.25">
      <c r="A15" s="23" t="s">
        <v>56</v>
      </c>
      <c r="B15" s="76" t="s">
        <v>89</v>
      </c>
    </row>
    <row r="16" spans="1:20" x14ac:dyDescent="0.25">
      <c r="A16" s="36"/>
      <c r="B16" s="35"/>
    </row>
    <row r="17" spans="1:2" ht="90" x14ac:dyDescent="0.25">
      <c r="A17" s="23" t="s">
        <v>57</v>
      </c>
      <c r="B17" s="35" t="s">
        <v>80</v>
      </c>
    </row>
    <row r="18" spans="1:2" x14ac:dyDescent="0.25">
      <c r="A18" s="36"/>
      <c r="B18" s="36"/>
    </row>
    <row r="19" spans="1:2" ht="60" x14ac:dyDescent="0.25">
      <c r="A19" s="23" t="s">
        <v>81</v>
      </c>
      <c r="B19" s="35" t="s">
        <v>71</v>
      </c>
    </row>
    <row r="20" spans="1:2" ht="45" x14ac:dyDescent="0.25">
      <c r="B20" s="53" t="s">
        <v>82</v>
      </c>
    </row>
    <row r="22" spans="1:2" ht="15.75" x14ac:dyDescent="0.25">
      <c r="A22" s="23" t="s">
        <v>72</v>
      </c>
      <c r="B22" s="34"/>
    </row>
    <row r="23" spans="1:2" ht="60" x14ac:dyDescent="0.25">
      <c r="A23" s="23"/>
      <c r="B23" s="50" t="s">
        <v>83</v>
      </c>
    </row>
    <row r="24" spans="1:2" ht="15.75" x14ac:dyDescent="0.25">
      <c r="A24" s="23"/>
      <c r="B24" s="55"/>
    </row>
    <row r="25" spans="1:2" ht="45" x14ac:dyDescent="0.25">
      <c r="A25" s="23"/>
      <c r="B25" s="54"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12" sqref="B12"/>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183</v>
      </c>
    </row>
    <row r="5" spans="1:20" x14ac:dyDescent="0.25">
      <c r="A5" s="4" t="s">
        <v>58</v>
      </c>
      <c r="B5" t="s">
        <v>184</v>
      </c>
    </row>
    <row r="6" spans="1:20" x14ac:dyDescent="0.25">
      <c r="A6" s="4"/>
      <c r="B6" s="10"/>
    </row>
    <row r="7" spans="1:20" x14ac:dyDescent="0.25">
      <c r="A7" s="4" t="s">
        <v>86</v>
      </c>
      <c r="B7" s="77" t="s">
        <v>185</v>
      </c>
    </row>
    <row r="8" spans="1:20" x14ac:dyDescent="0.25">
      <c r="A8" s="4" t="s">
        <v>73</v>
      </c>
      <c r="B8" t="s">
        <v>186</v>
      </c>
    </row>
    <row r="9" spans="1:20" x14ac:dyDescent="0.25">
      <c r="A9" s="4" t="s">
        <v>74</v>
      </c>
      <c r="B9" t="s">
        <v>187</v>
      </c>
    </row>
    <row r="10" spans="1:20" x14ac:dyDescent="0.25">
      <c r="A10" s="4" t="s">
        <v>75</v>
      </c>
      <c r="B10" s="78" t="s">
        <v>188</v>
      </c>
    </row>
    <row r="11" spans="1:20" x14ac:dyDescent="0.25">
      <c r="A11" s="4"/>
      <c r="B11" s="10"/>
    </row>
    <row r="12" spans="1:20" x14ac:dyDescent="0.25">
      <c r="A12" s="4" t="s">
        <v>36</v>
      </c>
      <c r="B12" s="77" t="s">
        <v>189</v>
      </c>
    </row>
    <row r="13" spans="1:20" x14ac:dyDescent="0.25">
      <c r="A13" s="4" t="s">
        <v>37</v>
      </c>
      <c r="B13" t="s">
        <v>186</v>
      </c>
    </row>
    <row r="14" spans="1:20" x14ac:dyDescent="0.25">
      <c r="A14" s="4" t="s">
        <v>38</v>
      </c>
      <c r="B14" t="s">
        <v>187</v>
      </c>
    </row>
    <row r="15" spans="1:20" x14ac:dyDescent="0.25">
      <c r="A15" s="4" t="s">
        <v>39</v>
      </c>
      <c r="B15" s="78" t="s">
        <v>188</v>
      </c>
    </row>
    <row r="16" spans="1:20" x14ac:dyDescent="0.25">
      <c r="A16" s="4"/>
      <c r="B16" s="10"/>
    </row>
    <row r="17" spans="1:2" x14ac:dyDescent="0.25">
      <c r="A17" s="4" t="s">
        <v>40</v>
      </c>
    </row>
    <row r="18" spans="1:2" x14ac:dyDescent="0.25">
      <c r="A18" s="4" t="s">
        <v>41</v>
      </c>
    </row>
    <row r="20" spans="1:2" ht="45" x14ac:dyDescent="0.25">
      <c r="A20" s="51"/>
      <c r="B20" s="52"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F88827FE-2A13-4310-AE73-C59862B9CD51}"/>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M50" sqref="M50"/>
    </sheetView>
  </sheetViews>
  <sheetFormatPr defaultRowHeight="15" x14ac:dyDescent="0.25"/>
  <cols>
    <col min="1" max="1" width="13.140625" style="18" customWidth="1"/>
    <col min="2" max="2" width="17.42578125" style="57" customWidth="1"/>
    <col min="3" max="3" width="17.140625" style="10" customWidth="1"/>
    <col min="4" max="4" width="22.42578125" style="10" customWidth="1"/>
    <col min="5" max="5" width="9.140625" style="11" customWidth="1"/>
    <col min="6" max="6" width="9.5703125" style="38" bestFit="1" customWidth="1"/>
    <col min="7" max="7" width="12" style="38"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7" t="s">
        <v>3</v>
      </c>
      <c r="B3" s="29"/>
      <c r="C3" s="29"/>
      <c r="D3" s="29"/>
      <c r="E3" s="30"/>
      <c r="F3" s="37"/>
      <c r="G3" s="37"/>
      <c r="H3" s="30"/>
      <c r="I3" s="30"/>
      <c r="J3" s="31"/>
      <c r="K3" s="30"/>
      <c r="L3" s="32" t="s">
        <v>16</v>
      </c>
      <c r="M3" s="25"/>
      <c r="N3" s="24"/>
      <c r="O3" s="24"/>
      <c r="P3" s="25"/>
      <c r="Q3" s="24"/>
      <c r="R3" s="25"/>
      <c r="S3" s="25"/>
      <c r="T3" s="25"/>
      <c r="U3" s="24"/>
      <c r="V3" s="25"/>
      <c r="W3" s="24"/>
      <c r="X3" s="25"/>
      <c r="Y3" s="24"/>
      <c r="Z3" s="39" t="s">
        <v>68</v>
      </c>
      <c r="AA3" s="40"/>
      <c r="AB3" s="40"/>
      <c r="AC3" s="40"/>
      <c r="AD3" s="40"/>
      <c r="AE3" s="40"/>
      <c r="AF3" s="41" t="s">
        <v>67</v>
      </c>
      <c r="AG3" s="42"/>
      <c r="AH3" s="42"/>
      <c r="AI3" s="42"/>
      <c r="AJ3" s="43"/>
      <c r="AK3" s="42"/>
      <c r="AL3" s="42"/>
      <c r="AM3" s="43"/>
      <c r="AN3" s="44" t="s">
        <v>69</v>
      </c>
      <c r="AO3" s="45"/>
      <c r="AP3" s="46"/>
    </row>
    <row r="4" spans="1:42" s="75" customFormat="1" ht="35.25" customHeight="1" x14ac:dyDescent="0.25">
      <c r="A4" s="59" t="s">
        <v>70</v>
      </c>
      <c r="B4" s="60" t="s">
        <v>11</v>
      </c>
      <c r="C4" s="61" t="s">
        <v>42</v>
      </c>
      <c r="D4" s="61" t="s">
        <v>62</v>
      </c>
      <c r="E4" s="61" t="s">
        <v>12</v>
      </c>
      <c r="F4" s="62" t="s">
        <v>9</v>
      </c>
      <c r="G4" s="62" t="s">
        <v>10</v>
      </c>
      <c r="H4" s="61" t="s">
        <v>4</v>
      </c>
      <c r="I4" s="61" t="s">
        <v>13</v>
      </c>
      <c r="J4" s="63" t="s">
        <v>14</v>
      </c>
      <c r="K4" s="61" t="s">
        <v>15</v>
      </c>
      <c r="L4" s="64" t="s">
        <v>5</v>
      </c>
      <c r="M4" s="64" t="s">
        <v>6</v>
      </c>
      <c r="N4" s="65" t="s">
        <v>47</v>
      </c>
      <c r="O4" s="65" t="s">
        <v>48</v>
      </c>
      <c r="P4" s="64" t="s">
        <v>17</v>
      </c>
      <c r="Q4" s="65" t="s">
        <v>49</v>
      </c>
      <c r="R4" s="64" t="s">
        <v>32</v>
      </c>
      <c r="S4" s="64" t="s">
        <v>18</v>
      </c>
      <c r="T4" s="64" t="s">
        <v>19</v>
      </c>
      <c r="U4" s="65" t="s">
        <v>50</v>
      </c>
      <c r="V4" s="64" t="s">
        <v>51</v>
      </c>
      <c r="W4" s="65" t="s">
        <v>46</v>
      </c>
      <c r="X4" s="64" t="s">
        <v>20</v>
      </c>
      <c r="Y4" s="65" t="s">
        <v>60</v>
      </c>
      <c r="Z4" s="66" t="s">
        <v>52</v>
      </c>
      <c r="AA4" s="67" t="s">
        <v>21</v>
      </c>
      <c r="AB4" s="67" t="s">
        <v>23</v>
      </c>
      <c r="AC4" s="67" t="s">
        <v>24</v>
      </c>
      <c r="AD4" s="67" t="s">
        <v>7</v>
      </c>
      <c r="AE4" s="67" t="s">
        <v>8</v>
      </c>
      <c r="AF4" s="68" t="s">
        <v>22</v>
      </c>
      <c r="AG4" s="69" t="s">
        <v>25</v>
      </c>
      <c r="AH4" s="69" t="s">
        <v>26</v>
      </c>
      <c r="AI4" s="69" t="s">
        <v>27</v>
      </c>
      <c r="AJ4" s="69" t="s">
        <v>28</v>
      </c>
      <c r="AK4" s="69" t="s">
        <v>29</v>
      </c>
      <c r="AL4" s="70" t="s">
        <v>30</v>
      </c>
      <c r="AM4" s="71" t="s">
        <v>33</v>
      </c>
      <c r="AN4" s="72" t="s">
        <v>34</v>
      </c>
      <c r="AO4" s="73" t="s">
        <v>63</v>
      </c>
      <c r="AP4" s="74" t="s">
        <v>31</v>
      </c>
    </row>
    <row r="5" spans="1:42" x14ac:dyDescent="0.25">
      <c r="A5" s="58">
        <v>45163</v>
      </c>
      <c r="C5" s="10">
        <v>3700002</v>
      </c>
      <c r="D5" s="10" t="s">
        <v>109</v>
      </c>
      <c r="E5" s="11">
        <v>10</v>
      </c>
      <c r="F5" s="38">
        <v>519645.85732608801</v>
      </c>
      <c r="G5" s="38">
        <v>6041053.0219735401</v>
      </c>
      <c r="H5" s="11" t="s">
        <v>151</v>
      </c>
      <c r="I5" s="11" t="s">
        <v>105</v>
      </c>
      <c r="J5" s="79"/>
      <c r="K5" s="11" t="s">
        <v>169</v>
      </c>
      <c r="L5" s="10" t="s">
        <v>92</v>
      </c>
      <c r="M5" s="10" t="s">
        <v>93</v>
      </c>
      <c r="N5" s="82">
        <v>1.18</v>
      </c>
      <c r="O5" s="82">
        <v>22</v>
      </c>
      <c r="P5" s="10" t="s">
        <v>94</v>
      </c>
      <c r="Q5" s="83"/>
      <c r="R5" s="10" t="s">
        <v>94</v>
      </c>
      <c r="S5" s="10" t="s">
        <v>94</v>
      </c>
      <c r="T5" s="83"/>
      <c r="U5" s="10">
        <v>1.2</v>
      </c>
      <c r="V5" s="10">
        <v>0.4</v>
      </c>
      <c r="W5" s="10">
        <v>0.6</v>
      </c>
      <c r="X5" s="10" t="s">
        <v>94</v>
      </c>
      <c r="Y5" s="10">
        <v>2.5</v>
      </c>
      <c r="Z5" s="10">
        <v>3.7</v>
      </c>
      <c r="AA5" s="10">
        <v>2</v>
      </c>
      <c r="AB5" s="10" t="s">
        <v>94</v>
      </c>
      <c r="AC5" s="10" t="s">
        <v>94</v>
      </c>
      <c r="AD5" s="10" t="s">
        <v>96</v>
      </c>
      <c r="AE5" s="10" t="s">
        <v>98</v>
      </c>
      <c r="AF5" s="20">
        <f>IF(ISBLANK(Z5), 0, IF(ISBLANK(N5) &lt; 0, 0,Z5 / N5))</f>
        <v>3.1355932203389836</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5</v>
      </c>
      <c r="AK5" s="7">
        <f>IF(AF5&lt;1,0,IF(AND(AF5&gt;=1,AF5&lt;1.3),3,IF(AF5&gt;=1.3,6,0)))</f>
        <v>6</v>
      </c>
      <c r="AL5" s="12">
        <f>AG5 + AH5 + AI5 + AJ5 + AK5</f>
        <v>34</v>
      </c>
      <c r="AM5" s="14" t="str">
        <f>IF(ISBLANK(L5), "", IF(L5 = "Open Bottom Structure", "Passable", IF(L5 = "Other", "Unknown", IF(AL5 &lt; 15, "Passable", IF(AND(AL5 &gt;= 15,AL5 &lt;= 19), "Potential", IF(AL5 &gt; 19, "Barrier", ""))))))</f>
        <v>Barrier</v>
      </c>
      <c r="AN5" s="10" t="s">
        <v>167</v>
      </c>
      <c r="AO5" s="10">
        <v>10</v>
      </c>
      <c r="AP5" s="85" t="s">
        <v>192</v>
      </c>
    </row>
    <row r="6" spans="1:42" x14ac:dyDescent="0.25">
      <c r="A6" s="58">
        <v>45163</v>
      </c>
      <c r="C6" s="10">
        <v>3700034</v>
      </c>
      <c r="D6" s="10" t="s">
        <v>109</v>
      </c>
      <c r="E6" s="11">
        <v>10</v>
      </c>
      <c r="F6" s="38">
        <v>518793.729136637</v>
      </c>
      <c r="G6" s="38">
        <v>6049041.4121688399</v>
      </c>
      <c r="H6" s="10" t="s">
        <v>117</v>
      </c>
      <c r="I6" s="11" t="s">
        <v>105</v>
      </c>
      <c r="J6" s="79"/>
      <c r="K6" s="10" t="s">
        <v>169</v>
      </c>
      <c r="L6" s="10" t="s">
        <v>92</v>
      </c>
      <c r="M6" s="10" t="s">
        <v>93</v>
      </c>
      <c r="N6" s="82">
        <v>0.7</v>
      </c>
      <c r="O6" s="82">
        <v>20</v>
      </c>
      <c r="P6" s="10" t="s">
        <v>95</v>
      </c>
      <c r="Q6" s="10">
        <v>0.37</v>
      </c>
      <c r="R6" s="10" t="s">
        <v>95</v>
      </c>
      <c r="S6" s="10" t="s">
        <v>95</v>
      </c>
      <c r="T6" s="10">
        <v>100</v>
      </c>
      <c r="U6" s="10">
        <v>0.5</v>
      </c>
      <c r="V6" s="10">
        <v>0</v>
      </c>
      <c r="W6" s="10">
        <v>0.5</v>
      </c>
      <c r="X6" s="10" t="s">
        <v>94</v>
      </c>
      <c r="Y6" s="10">
        <v>1</v>
      </c>
      <c r="Z6" s="10">
        <v>3.1</v>
      </c>
      <c r="AA6" s="10">
        <v>2</v>
      </c>
      <c r="AB6" s="10" t="s">
        <v>94</v>
      </c>
      <c r="AC6" s="10" t="s">
        <v>94</v>
      </c>
      <c r="AD6" s="10" t="s">
        <v>96</v>
      </c>
      <c r="AE6" s="10" t="s">
        <v>97</v>
      </c>
      <c r="AF6" s="20">
        <f t="shared" ref="AF6:AF11" si="0">IF(ISBLANK(Z6), 0, IF(ISBLANK(N6) &lt; 0, 0,Z6 / N6))</f>
        <v>4.4285714285714288</v>
      </c>
      <c r="AG6" s="13">
        <f t="shared" ref="AG6:AG67" si="1">IF(O6&lt;15,0,IF(AND(O6&gt;=15,O6&lt;30),3,IF(O6&gt;=30,6,0)))</f>
        <v>3</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5</v>
      </c>
      <c r="AK6" s="7">
        <f t="shared" ref="AK6:AK67" si="5">IF(AF6&lt;1,0,IF(AND(AF6&gt;=1,AF6&lt;1.3),3,IF(AF6&gt;=1.3,6,0)))</f>
        <v>6</v>
      </c>
      <c r="AL6" s="12">
        <f t="shared" ref="AL6:AL11" si="6">AG6 + AH6 + AI6 + AJ6 + AK6</f>
        <v>14</v>
      </c>
      <c r="AM6" s="14" t="str">
        <f t="shared" ref="AM6:AM67" si="7">IF(ISBLANK(L6), "", IF(L6 = "Open Bottom Structure", "Passable", IF(L6 = "Other", "Unknown", IF(AL6 &lt; 15, "Passable", IF(AND(AL6 &gt;= 15,AL6 &lt;= 19), "Potential", IF(AL6 &gt; 19, "Barrier", ""))))))</f>
        <v>Passable</v>
      </c>
      <c r="AO6" s="10"/>
      <c r="AP6" s="85" t="s">
        <v>193</v>
      </c>
    </row>
    <row r="7" spans="1:42" x14ac:dyDescent="0.25">
      <c r="A7" s="58">
        <v>45163</v>
      </c>
      <c r="C7" s="10">
        <v>3700010</v>
      </c>
      <c r="D7" s="10" t="s">
        <v>109</v>
      </c>
      <c r="E7" s="11">
        <v>10</v>
      </c>
      <c r="F7" s="38">
        <v>519126.11013617198</v>
      </c>
      <c r="G7" s="38">
        <v>6053246.7107201498</v>
      </c>
      <c r="H7" s="10" t="s">
        <v>150</v>
      </c>
      <c r="I7" s="11" t="s">
        <v>105</v>
      </c>
      <c r="J7" s="79"/>
      <c r="K7" s="10" t="s">
        <v>169</v>
      </c>
      <c r="L7" s="10" t="s">
        <v>92</v>
      </c>
      <c r="M7" s="10" t="s">
        <v>93</v>
      </c>
      <c r="N7" s="21">
        <v>3.5</v>
      </c>
      <c r="O7" s="21">
        <v>25</v>
      </c>
      <c r="P7" s="10" t="s">
        <v>95</v>
      </c>
      <c r="Q7" s="10">
        <v>0.6</v>
      </c>
      <c r="R7" s="10" t="s">
        <v>95</v>
      </c>
      <c r="S7" s="10" t="s">
        <v>95</v>
      </c>
      <c r="T7" s="10">
        <v>100</v>
      </c>
      <c r="U7" s="10">
        <v>2.5</v>
      </c>
      <c r="V7" s="10">
        <v>0</v>
      </c>
      <c r="W7" s="10">
        <v>4</v>
      </c>
      <c r="X7" s="10" t="s">
        <v>94</v>
      </c>
      <c r="Y7" s="10">
        <v>1</v>
      </c>
      <c r="Z7" s="10">
        <v>5.2</v>
      </c>
      <c r="AA7" s="10">
        <v>1</v>
      </c>
      <c r="AB7" s="10" t="s">
        <v>95</v>
      </c>
      <c r="AC7" s="10" t="s">
        <v>95</v>
      </c>
      <c r="AD7" s="10" t="s">
        <v>96</v>
      </c>
      <c r="AE7" s="10" t="s">
        <v>98</v>
      </c>
      <c r="AF7" s="20">
        <f t="shared" si="0"/>
        <v>1.4857142857142858</v>
      </c>
      <c r="AG7" s="13">
        <f t="shared" si="1"/>
        <v>3</v>
      </c>
      <c r="AH7" s="7">
        <f t="shared" si="2"/>
        <v>5</v>
      </c>
      <c r="AI7" s="7">
        <f t="shared" si="3"/>
        <v>0</v>
      </c>
      <c r="AJ7" s="7">
        <f t="shared" si="4"/>
        <v>5</v>
      </c>
      <c r="AK7" s="7">
        <f t="shared" si="5"/>
        <v>6</v>
      </c>
      <c r="AL7" s="12">
        <f t="shared" si="6"/>
        <v>19</v>
      </c>
      <c r="AM7" s="14" t="str">
        <f t="shared" si="7"/>
        <v>Potential</v>
      </c>
      <c r="AN7" s="10" t="s">
        <v>167</v>
      </c>
      <c r="AO7" s="10">
        <v>10</v>
      </c>
      <c r="AP7" s="10" t="s">
        <v>194</v>
      </c>
    </row>
    <row r="8" spans="1:42" x14ac:dyDescent="0.25">
      <c r="A8" s="58">
        <v>45163</v>
      </c>
      <c r="B8" s="80"/>
      <c r="C8" s="10">
        <v>3700015</v>
      </c>
      <c r="D8" s="10" t="s">
        <v>109</v>
      </c>
      <c r="E8" s="11">
        <v>10</v>
      </c>
      <c r="F8" s="38">
        <v>517177.12739613402</v>
      </c>
      <c r="G8" s="38">
        <v>6054489.5188607601</v>
      </c>
      <c r="H8" s="10" t="s">
        <v>117</v>
      </c>
      <c r="I8" s="11" t="s">
        <v>105</v>
      </c>
      <c r="J8" s="81"/>
      <c r="K8" s="84" t="s">
        <v>169</v>
      </c>
      <c r="L8" s="10" t="s">
        <v>92</v>
      </c>
      <c r="M8" s="10" t="s">
        <v>93</v>
      </c>
      <c r="N8" s="21">
        <v>0.6</v>
      </c>
      <c r="O8" s="21">
        <v>22</v>
      </c>
      <c r="P8" s="10" t="s">
        <v>94</v>
      </c>
      <c r="Q8" s="83"/>
      <c r="R8" s="10" t="s">
        <v>94</v>
      </c>
      <c r="S8" s="10" t="s">
        <v>94</v>
      </c>
      <c r="T8" s="83"/>
      <c r="U8" s="10">
        <v>2.5</v>
      </c>
      <c r="V8" s="10">
        <v>0.3</v>
      </c>
      <c r="W8" s="10">
        <v>0.1</v>
      </c>
      <c r="X8" s="10" t="s">
        <v>94</v>
      </c>
      <c r="Y8" s="10">
        <v>3</v>
      </c>
      <c r="Z8" s="10">
        <v>1.1000000000000001</v>
      </c>
      <c r="AA8" s="10">
        <v>4</v>
      </c>
      <c r="AB8" s="10" t="s">
        <v>94</v>
      </c>
      <c r="AC8" s="10" t="s">
        <v>94</v>
      </c>
      <c r="AD8" s="10" t="s">
        <v>96</v>
      </c>
      <c r="AE8" s="10" t="s">
        <v>97</v>
      </c>
      <c r="AF8" s="20">
        <f t="shared" si="0"/>
        <v>1.8333333333333335</v>
      </c>
      <c r="AG8" s="13">
        <f t="shared" si="1"/>
        <v>3</v>
      </c>
      <c r="AH8" s="7">
        <f t="shared" si="2"/>
        <v>10</v>
      </c>
      <c r="AI8" s="7">
        <f t="shared" si="3"/>
        <v>10</v>
      </c>
      <c r="AJ8" s="7">
        <f t="shared" si="4"/>
        <v>10</v>
      </c>
      <c r="AK8" s="7">
        <f t="shared" si="5"/>
        <v>6</v>
      </c>
      <c r="AL8" s="12">
        <f t="shared" si="6"/>
        <v>39</v>
      </c>
      <c r="AM8" s="14" t="str">
        <f t="shared" si="7"/>
        <v>Barrier</v>
      </c>
      <c r="AN8" s="10" t="s">
        <v>168</v>
      </c>
      <c r="AO8" s="10">
        <v>3</v>
      </c>
      <c r="AP8" s="10" t="s">
        <v>195</v>
      </c>
    </row>
    <row r="9" spans="1:42" x14ac:dyDescent="0.25">
      <c r="A9" s="58">
        <v>45163</v>
      </c>
      <c r="C9" s="10">
        <v>3701558</v>
      </c>
      <c r="D9" s="10" t="s">
        <v>109</v>
      </c>
      <c r="E9" s="11">
        <v>10</v>
      </c>
      <c r="F9" s="38">
        <v>513139.89478768798</v>
      </c>
      <c r="G9" s="38">
        <v>6067042.6331644701</v>
      </c>
      <c r="H9" s="85" t="s">
        <v>99</v>
      </c>
      <c r="I9" s="11" t="s">
        <v>105</v>
      </c>
      <c r="J9" s="79"/>
      <c r="K9" s="84" t="s">
        <v>169</v>
      </c>
      <c r="L9" s="10" t="s">
        <v>92</v>
      </c>
      <c r="M9" s="10" t="s">
        <v>100</v>
      </c>
      <c r="N9" s="21">
        <v>4.2</v>
      </c>
      <c r="O9" s="21">
        <v>26</v>
      </c>
      <c r="P9" s="10" t="s">
        <v>94</v>
      </c>
      <c r="Q9" s="83"/>
      <c r="R9" s="10" t="s">
        <v>94</v>
      </c>
      <c r="S9" s="10" t="s">
        <v>94</v>
      </c>
      <c r="T9" s="83"/>
      <c r="U9" s="10">
        <v>1.5</v>
      </c>
      <c r="V9" s="10">
        <v>0.3</v>
      </c>
      <c r="W9" s="10">
        <v>0.4</v>
      </c>
      <c r="X9" s="10" t="s">
        <v>94</v>
      </c>
      <c r="Y9" s="10">
        <v>0</v>
      </c>
      <c r="Z9" s="10">
        <v>3.5</v>
      </c>
      <c r="AA9" s="10">
        <v>1</v>
      </c>
      <c r="AB9" s="10" t="s">
        <v>94</v>
      </c>
      <c r="AC9" s="10" t="s">
        <v>95</v>
      </c>
      <c r="AD9" s="10" t="s">
        <v>96</v>
      </c>
      <c r="AE9" s="10" t="s">
        <v>101</v>
      </c>
      <c r="AF9" s="20">
        <f t="shared" si="0"/>
        <v>0.83333333333333326</v>
      </c>
      <c r="AG9" s="13">
        <f t="shared" si="1"/>
        <v>3</v>
      </c>
      <c r="AH9" s="7">
        <f t="shared" si="2"/>
        <v>10</v>
      </c>
      <c r="AI9" s="7">
        <f t="shared" si="3"/>
        <v>10</v>
      </c>
      <c r="AJ9" s="7">
        <f t="shared" si="4"/>
        <v>0</v>
      </c>
      <c r="AK9" s="7">
        <f t="shared" si="5"/>
        <v>0</v>
      </c>
      <c r="AL9" s="12">
        <f t="shared" si="6"/>
        <v>23</v>
      </c>
      <c r="AM9" s="14" t="str">
        <f t="shared" si="7"/>
        <v>Barrier</v>
      </c>
      <c r="AN9" s="10" t="s">
        <v>167</v>
      </c>
      <c r="AO9" s="10">
        <v>10</v>
      </c>
      <c r="AP9" s="10" t="s">
        <v>196</v>
      </c>
    </row>
    <row r="10" spans="1:42" x14ac:dyDescent="0.25">
      <c r="A10" s="58">
        <v>45163</v>
      </c>
      <c r="C10" s="10">
        <v>3702598</v>
      </c>
      <c r="D10" s="10" t="s">
        <v>109</v>
      </c>
      <c r="E10" s="11">
        <v>10</v>
      </c>
      <c r="F10" s="38">
        <v>513534.47970618802</v>
      </c>
      <c r="G10" s="38">
        <v>6067127.51187874</v>
      </c>
      <c r="H10" s="85" t="s">
        <v>99</v>
      </c>
      <c r="I10" s="11" t="s">
        <v>102</v>
      </c>
      <c r="J10" s="79"/>
      <c r="K10" s="10" t="s">
        <v>170</v>
      </c>
      <c r="L10" s="10" t="s">
        <v>103</v>
      </c>
      <c r="M10" s="10" t="s">
        <v>262</v>
      </c>
      <c r="N10" s="87"/>
      <c r="O10" s="87"/>
      <c r="P10" s="83"/>
      <c r="Q10" s="87"/>
      <c r="R10" s="83"/>
      <c r="S10" s="83"/>
      <c r="T10" s="87"/>
      <c r="U10" s="87"/>
      <c r="V10" s="83"/>
      <c r="W10" s="87"/>
      <c r="X10" s="83"/>
      <c r="Y10" s="87"/>
      <c r="Z10" s="87"/>
      <c r="AA10" s="83"/>
      <c r="AB10" s="10" t="s">
        <v>94</v>
      </c>
      <c r="AC10" s="10" t="s">
        <v>94</v>
      </c>
      <c r="AD10" s="83"/>
      <c r="AE10" s="83"/>
      <c r="AF10" s="20">
        <f t="shared" si="0"/>
        <v>0</v>
      </c>
      <c r="AG10" s="13">
        <f t="shared" si="1"/>
        <v>0</v>
      </c>
      <c r="AH10" s="7">
        <f t="shared" si="2"/>
        <v>0</v>
      </c>
      <c r="AI10" s="7">
        <f t="shared" si="3"/>
        <v>0</v>
      </c>
      <c r="AJ10" s="7">
        <f t="shared" si="4"/>
        <v>0</v>
      </c>
      <c r="AK10" s="7">
        <f t="shared" si="5"/>
        <v>0</v>
      </c>
      <c r="AL10" s="12">
        <f t="shared" si="6"/>
        <v>0</v>
      </c>
      <c r="AM10" s="14" t="str">
        <f t="shared" si="7"/>
        <v>Unknown</v>
      </c>
      <c r="AN10" s="88"/>
      <c r="AO10" s="89"/>
      <c r="AP10" s="10" t="s">
        <v>197</v>
      </c>
    </row>
    <row r="11" spans="1:42" x14ac:dyDescent="0.25">
      <c r="A11" s="58">
        <v>45163</v>
      </c>
      <c r="C11" s="85">
        <v>2200002</v>
      </c>
      <c r="D11" s="10" t="s">
        <v>119</v>
      </c>
      <c r="E11" s="10">
        <v>10</v>
      </c>
      <c r="F11" s="86">
        <v>497880.61393536301</v>
      </c>
      <c r="G11" s="86">
        <v>6093709.5613996498</v>
      </c>
      <c r="H11" s="85" t="s">
        <v>152</v>
      </c>
      <c r="I11" s="11" t="s">
        <v>105</v>
      </c>
      <c r="J11" s="79"/>
      <c r="K11" s="10" t="s">
        <v>169</v>
      </c>
      <c r="L11" s="10" t="s">
        <v>92</v>
      </c>
      <c r="M11" s="10" t="s">
        <v>93</v>
      </c>
      <c r="N11" s="21">
        <v>1.2</v>
      </c>
      <c r="O11" s="21">
        <v>60</v>
      </c>
      <c r="P11" s="10" t="s">
        <v>94</v>
      </c>
      <c r="Q11" s="87"/>
      <c r="R11" s="10" t="s">
        <v>94</v>
      </c>
      <c r="S11" s="10" t="s">
        <v>94</v>
      </c>
      <c r="T11" s="87"/>
      <c r="U11" s="21">
        <v>9</v>
      </c>
      <c r="V11" s="10">
        <v>0.65</v>
      </c>
      <c r="W11" s="21">
        <v>1</v>
      </c>
      <c r="X11" s="10" t="s">
        <v>94</v>
      </c>
      <c r="Y11" s="21">
        <v>0.5</v>
      </c>
      <c r="Z11" s="21">
        <v>3</v>
      </c>
      <c r="AA11" s="10">
        <v>0.5</v>
      </c>
      <c r="AB11" s="10" t="s">
        <v>94</v>
      </c>
      <c r="AC11" s="10" t="s">
        <v>94</v>
      </c>
      <c r="AD11" s="10" t="s">
        <v>96</v>
      </c>
      <c r="AE11" s="10" t="s">
        <v>98</v>
      </c>
      <c r="AF11" s="20">
        <f t="shared" si="0"/>
        <v>2.5</v>
      </c>
      <c r="AG11" s="13">
        <f t="shared" si="1"/>
        <v>6</v>
      </c>
      <c r="AH11" s="7">
        <f t="shared" si="2"/>
        <v>10</v>
      </c>
      <c r="AI11" s="7">
        <f t="shared" si="3"/>
        <v>10</v>
      </c>
      <c r="AJ11" s="7">
        <f>IF(Y11&lt;1,0,IF(AND(Y11&gt;=1,Y11&lt;3),5,IF(Y11&gt;=3,10,0)))</f>
        <v>0</v>
      </c>
      <c r="AK11" s="7">
        <f t="shared" si="5"/>
        <v>6</v>
      </c>
      <c r="AL11" s="12">
        <f t="shared" si="6"/>
        <v>32</v>
      </c>
      <c r="AM11" s="14" t="str">
        <f t="shared" si="7"/>
        <v>Barrier</v>
      </c>
      <c r="AN11" s="10" t="s">
        <v>168</v>
      </c>
      <c r="AO11" s="10">
        <v>4.5</v>
      </c>
      <c r="AP11" s="10" t="s">
        <v>198</v>
      </c>
    </row>
    <row r="12" spans="1:42" x14ac:dyDescent="0.25">
      <c r="A12" s="58">
        <v>45163</v>
      </c>
      <c r="C12" s="10">
        <v>2200779</v>
      </c>
      <c r="D12" s="10" t="s">
        <v>119</v>
      </c>
      <c r="E12" s="11">
        <v>10</v>
      </c>
      <c r="F12" s="38">
        <v>500631.66618786199</v>
      </c>
      <c r="G12" s="38">
        <v>6089784.2793456903</v>
      </c>
      <c r="H12" s="11" t="s">
        <v>104</v>
      </c>
      <c r="I12" s="11" t="s">
        <v>105</v>
      </c>
      <c r="J12" s="79"/>
      <c r="K12" s="11" t="s">
        <v>169</v>
      </c>
      <c r="L12" s="10" t="s">
        <v>92</v>
      </c>
      <c r="M12" s="10" t="s">
        <v>93</v>
      </c>
      <c r="N12" s="21">
        <v>2.5</v>
      </c>
      <c r="O12" s="21">
        <v>34</v>
      </c>
      <c r="P12" s="10" t="s">
        <v>94</v>
      </c>
      <c r="Q12" s="83"/>
      <c r="R12" s="10" t="s">
        <v>94</v>
      </c>
      <c r="S12" s="10" t="s">
        <v>94</v>
      </c>
      <c r="T12" s="87"/>
      <c r="U12" s="21">
        <v>2</v>
      </c>
      <c r="V12" s="10">
        <v>0</v>
      </c>
      <c r="W12" s="21">
        <v>1</v>
      </c>
      <c r="X12" s="10" t="s">
        <v>95</v>
      </c>
      <c r="Y12" s="21">
        <v>0.5</v>
      </c>
      <c r="Z12" s="21">
        <v>4</v>
      </c>
      <c r="AA12" s="10">
        <v>0.5</v>
      </c>
      <c r="AB12" s="10" t="s">
        <v>95</v>
      </c>
      <c r="AC12" s="10" t="s">
        <v>94</v>
      </c>
      <c r="AD12" s="10" t="s">
        <v>96</v>
      </c>
      <c r="AE12" s="10" t="s">
        <v>98</v>
      </c>
      <c r="AF12" s="20">
        <f t="shared" ref="AF12:AF72" si="8">IF(ISBLANK(Z12), 0, IF(ISBLANK(N12) &lt; 0, 0,Z12 / N12))</f>
        <v>1.6</v>
      </c>
      <c r="AG12" s="13">
        <f t="shared" si="1"/>
        <v>6</v>
      </c>
      <c r="AH12" s="7">
        <f t="shared" si="2"/>
        <v>10</v>
      </c>
      <c r="AI12" s="7">
        <f t="shared" si="3"/>
        <v>0</v>
      </c>
      <c r="AJ12" s="7">
        <f t="shared" si="4"/>
        <v>0</v>
      </c>
      <c r="AK12" s="7">
        <f t="shared" si="5"/>
        <v>6</v>
      </c>
      <c r="AL12" s="12">
        <f t="shared" ref="AL12:AL70" si="9">AG12 + AH12 + AI12 + AJ12 + AK12</f>
        <v>22</v>
      </c>
      <c r="AM12" s="14" t="str">
        <f t="shared" si="7"/>
        <v>Barrier</v>
      </c>
      <c r="AN12" s="10" t="s">
        <v>167</v>
      </c>
      <c r="AO12" s="21">
        <v>10</v>
      </c>
      <c r="AP12" s="10" t="s">
        <v>199</v>
      </c>
    </row>
    <row r="13" spans="1:42" ht="30" x14ac:dyDescent="0.25">
      <c r="A13" s="58">
        <v>45163</v>
      </c>
      <c r="C13" s="10">
        <v>2200604</v>
      </c>
      <c r="D13" s="10" t="s">
        <v>119</v>
      </c>
      <c r="E13" s="11">
        <v>10</v>
      </c>
      <c r="F13" s="38">
        <v>501962.85980317398</v>
      </c>
      <c r="G13" s="38">
        <v>6087825.8642223701</v>
      </c>
      <c r="H13" s="11" t="s">
        <v>141</v>
      </c>
      <c r="I13" s="11" t="s">
        <v>105</v>
      </c>
      <c r="K13" s="11" t="s">
        <v>169</v>
      </c>
      <c r="L13" s="10" t="s">
        <v>92</v>
      </c>
      <c r="M13" s="10" t="s">
        <v>93</v>
      </c>
      <c r="N13" s="21">
        <v>1.2</v>
      </c>
      <c r="O13" s="21">
        <v>50</v>
      </c>
      <c r="P13" s="10" t="s">
        <v>94</v>
      </c>
      <c r="Q13" s="83"/>
      <c r="R13" s="10" t="s">
        <v>94</v>
      </c>
      <c r="S13" s="10" t="s">
        <v>94</v>
      </c>
      <c r="T13" s="83"/>
      <c r="U13" s="21">
        <v>6</v>
      </c>
      <c r="V13" s="10">
        <v>0.8</v>
      </c>
      <c r="W13" s="21">
        <v>0.6</v>
      </c>
      <c r="X13" s="10" t="s">
        <v>95</v>
      </c>
      <c r="Y13" s="21">
        <v>1</v>
      </c>
      <c r="Z13" s="21">
        <v>1.9</v>
      </c>
      <c r="AA13" s="10">
        <v>3</v>
      </c>
      <c r="AB13" s="10" t="s">
        <v>95</v>
      </c>
      <c r="AC13" s="10" t="s">
        <v>94</v>
      </c>
      <c r="AD13" s="10" t="s">
        <v>96</v>
      </c>
      <c r="AE13" s="10" t="s">
        <v>98</v>
      </c>
      <c r="AF13" s="20">
        <f t="shared" si="8"/>
        <v>1.5833333333333333</v>
      </c>
      <c r="AG13" s="13">
        <f t="shared" si="1"/>
        <v>6</v>
      </c>
      <c r="AH13" s="7">
        <f t="shared" si="2"/>
        <v>10</v>
      </c>
      <c r="AI13" s="7">
        <f t="shared" si="3"/>
        <v>10</v>
      </c>
      <c r="AJ13" s="7">
        <f t="shared" si="4"/>
        <v>5</v>
      </c>
      <c r="AK13" s="7">
        <f t="shared" si="5"/>
        <v>6</v>
      </c>
      <c r="AL13" s="12">
        <f t="shared" si="9"/>
        <v>37</v>
      </c>
      <c r="AM13" s="14" t="str">
        <f t="shared" si="7"/>
        <v>Barrier</v>
      </c>
      <c r="AN13" s="10" t="s">
        <v>168</v>
      </c>
      <c r="AO13" s="21">
        <v>3</v>
      </c>
      <c r="AP13" s="10" t="s">
        <v>200</v>
      </c>
    </row>
    <row r="14" spans="1:42" ht="30" x14ac:dyDescent="0.25">
      <c r="A14" s="58">
        <v>45163</v>
      </c>
      <c r="C14" s="10">
        <v>2200026</v>
      </c>
      <c r="D14" s="10" t="s">
        <v>119</v>
      </c>
      <c r="E14" s="11">
        <v>10</v>
      </c>
      <c r="F14" s="38">
        <v>503356.41788658203</v>
      </c>
      <c r="G14" s="38">
        <v>6085973.8731182097</v>
      </c>
      <c r="H14" s="11" t="s">
        <v>161</v>
      </c>
      <c r="I14" s="11" t="s">
        <v>105</v>
      </c>
      <c r="K14" s="11" t="s">
        <v>169</v>
      </c>
      <c r="L14" s="10" t="s">
        <v>92</v>
      </c>
      <c r="M14" s="10" t="s">
        <v>93</v>
      </c>
      <c r="N14" s="21">
        <v>0.9</v>
      </c>
      <c r="O14" s="21">
        <v>40</v>
      </c>
      <c r="P14" s="10" t="s">
        <v>94</v>
      </c>
      <c r="Q14" s="83"/>
      <c r="R14" s="10" t="s">
        <v>94</v>
      </c>
      <c r="S14" s="10" t="s">
        <v>94</v>
      </c>
      <c r="T14" s="83"/>
      <c r="U14" s="21">
        <v>5</v>
      </c>
      <c r="V14" s="10">
        <v>0.4</v>
      </c>
      <c r="W14" s="21">
        <v>1.3</v>
      </c>
      <c r="X14" s="10" t="s">
        <v>94</v>
      </c>
      <c r="Y14" s="21">
        <v>3</v>
      </c>
      <c r="Z14" s="21">
        <v>3.3</v>
      </c>
      <c r="AA14" s="10">
        <v>4</v>
      </c>
      <c r="AB14" s="10" t="s">
        <v>95</v>
      </c>
      <c r="AC14" s="10" t="s">
        <v>94</v>
      </c>
      <c r="AD14" s="10" t="s">
        <v>96</v>
      </c>
      <c r="AE14" s="10" t="s">
        <v>98</v>
      </c>
      <c r="AF14" s="20">
        <f t="shared" si="8"/>
        <v>3.6666666666666665</v>
      </c>
      <c r="AG14" s="13">
        <f t="shared" si="1"/>
        <v>6</v>
      </c>
      <c r="AH14" s="7">
        <f t="shared" si="2"/>
        <v>10</v>
      </c>
      <c r="AI14" s="7">
        <f t="shared" si="3"/>
        <v>10</v>
      </c>
      <c r="AJ14" s="7">
        <f t="shared" si="4"/>
        <v>10</v>
      </c>
      <c r="AK14" s="7">
        <f t="shared" si="5"/>
        <v>6</v>
      </c>
      <c r="AL14" s="12">
        <f t="shared" si="9"/>
        <v>42</v>
      </c>
      <c r="AM14" s="14" t="str">
        <f t="shared" si="7"/>
        <v>Barrier</v>
      </c>
      <c r="AN14" s="10" t="s">
        <v>167</v>
      </c>
      <c r="AO14" s="21">
        <v>16</v>
      </c>
      <c r="AP14" s="10" t="s">
        <v>201</v>
      </c>
    </row>
    <row r="15" spans="1:42" x14ac:dyDescent="0.25">
      <c r="A15" s="58">
        <v>45163</v>
      </c>
      <c r="C15" s="10">
        <v>2200119</v>
      </c>
      <c r="D15" s="10" t="s">
        <v>119</v>
      </c>
      <c r="E15" s="11">
        <v>10</v>
      </c>
      <c r="F15" s="38">
        <v>503934.25831870502</v>
      </c>
      <c r="G15" s="38">
        <v>6084297.1236128798</v>
      </c>
      <c r="H15" s="11" t="s">
        <v>106</v>
      </c>
      <c r="I15" s="11" t="s">
        <v>165</v>
      </c>
      <c r="K15" s="11" t="s">
        <v>171</v>
      </c>
      <c r="L15" s="10" t="s">
        <v>107</v>
      </c>
      <c r="M15" s="10" t="s">
        <v>108</v>
      </c>
      <c r="N15" s="21">
        <v>6</v>
      </c>
      <c r="O15" s="21">
        <v>7.5</v>
      </c>
      <c r="P15" s="83"/>
      <c r="Q15" s="83"/>
      <c r="R15" s="83"/>
      <c r="S15" s="83"/>
      <c r="T15" s="87"/>
      <c r="U15" s="87"/>
      <c r="V15" s="83"/>
      <c r="W15" s="87"/>
      <c r="X15" s="83"/>
      <c r="Y15" s="87"/>
      <c r="Z15" s="87"/>
      <c r="AA15" s="83"/>
      <c r="AB15" s="10" t="s">
        <v>94</v>
      </c>
      <c r="AC15" s="10" t="s">
        <v>94</v>
      </c>
      <c r="AD15" s="83"/>
      <c r="AE15" s="83"/>
      <c r="AF15" s="20">
        <f t="shared" si="8"/>
        <v>0</v>
      </c>
      <c r="AG15" s="13">
        <f t="shared" si="1"/>
        <v>0</v>
      </c>
      <c r="AH15" s="7">
        <f t="shared" si="2"/>
        <v>0</v>
      </c>
      <c r="AI15" s="7">
        <f t="shared" si="3"/>
        <v>0</v>
      </c>
      <c r="AJ15" s="7">
        <f t="shared" si="4"/>
        <v>0</v>
      </c>
      <c r="AK15" s="7">
        <f t="shared" si="5"/>
        <v>0</v>
      </c>
      <c r="AL15" s="12">
        <f t="shared" si="9"/>
        <v>0</v>
      </c>
      <c r="AM15" s="14" t="str">
        <f t="shared" si="7"/>
        <v>Passable</v>
      </c>
      <c r="AN15" s="83"/>
      <c r="AO15" s="87"/>
      <c r="AP15" s="10" t="s">
        <v>202</v>
      </c>
    </row>
    <row r="16" spans="1:42" x14ac:dyDescent="0.25">
      <c r="A16" s="58">
        <v>45163</v>
      </c>
      <c r="C16" s="10">
        <v>2200114</v>
      </c>
      <c r="D16" s="10" t="s">
        <v>119</v>
      </c>
      <c r="E16" s="11">
        <v>10</v>
      </c>
      <c r="F16" s="38">
        <v>503758.421631723</v>
      </c>
      <c r="G16" s="38">
        <v>6084286.4836672395</v>
      </c>
      <c r="H16" s="11" t="s">
        <v>106</v>
      </c>
      <c r="I16" s="11" t="s">
        <v>165</v>
      </c>
      <c r="K16" s="11" t="s">
        <v>171</v>
      </c>
      <c r="L16" s="10" t="s">
        <v>107</v>
      </c>
      <c r="M16" s="10" t="s">
        <v>108</v>
      </c>
      <c r="N16" s="21">
        <v>6</v>
      </c>
      <c r="O16" s="21">
        <v>7</v>
      </c>
      <c r="P16" s="83"/>
      <c r="Q16" s="83"/>
      <c r="R16" s="83"/>
      <c r="S16" s="83"/>
      <c r="T16" s="87"/>
      <c r="U16" s="87"/>
      <c r="V16" s="83"/>
      <c r="W16" s="87"/>
      <c r="X16" s="83"/>
      <c r="Y16" s="87"/>
      <c r="Z16" s="87"/>
      <c r="AA16" s="83"/>
      <c r="AB16" s="10" t="s">
        <v>94</v>
      </c>
      <c r="AC16" s="10" t="s">
        <v>94</v>
      </c>
      <c r="AD16" s="83"/>
      <c r="AE16" s="83"/>
      <c r="AF16" s="20">
        <f t="shared" si="8"/>
        <v>0</v>
      </c>
      <c r="AG16" s="13">
        <f t="shared" si="1"/>
        <v>0</v>
      </c>
      <c r="AH16" s="7">
        <f t="shared" si="2"/>
        <v>0</v>
      </c>
      <c r="AI16" s="7">
        <f t="shared" si="3"/>
        <v>0</v>
      </c>
      <c r="AJ16" s="7">
        <f t="shared" si="4"/>
        <v>0</v>
      </c>
      <c r="AK16" s="7">
        <f t="shared" si="5"/>
        <v>0</v>
      </c>
      <c r="AL16" s="12">
        <f t="shared" si="9"/>
        <v>0</v>
      </c>
      <c r="AM16" s="14" t="str">
        <f t="shared" si="7"/>
        <v>Passable</v>
      </c>
      <c r="AN16" s="83"/>
      <c r="AO16" s="87"/>
      <c r="AP16" s="10" t="s">
        <v>203</v>
      </c>
    </row>
    <row r="17" spans="1:42" x14ac:dyDescent="0.25">
      <c r="A17" s="58">
        <v>45163</v>
      </c>
      <c r="C17" s="10">
        <v>2200014</v>
      </c>
      <c r="D17" s="10" t="s">
        <v>119</v>
      </c>
      <c r="E17" s="11">
        <v>10</v>
      </c>
      <c r="F17" s="38">
        <v>504410.83121207799</v>
      </c>
      <c r="G17" s="38">
        <v>6084420.2117169602</v>
      </c>
      <c r="H17" s="11" t="s">
        <v>106</v>
      </c>
      <c r="I17" s="11" t="s">
        <v>105</v>
      </c>
      <c r="K17" s="11" t="s">
        <v>169</v>
      </c>
      <c r="L17" s="10" t="s">
        <v>92</v>
      </c>
      <c r="M17" s="10" t="s">
        <v>93</v>
      </c>
      <c r="N17" s="21">
        <v>2.5</v>
      </c>
      <c r="O17" s="21">
        <v>35</v>
      </c>
      <c r="P17" s="10" t="s">
        <v>94</v>
      </c>
      <c r="Q17" s="87"/>
      <c r="R17" s="10" t="s">
        <v>94</v>
      </c>
      <c r="S17" s="10" t="s">
        <v>94</v>
      </c>
      <c r="T17" s="83"/>
      <c r="U17" s="21">
        <v>5</v>
      </c>
      <c r="V17" s="10">
        <v>0</v>
      </c>
      <c r="W17" s="21">
        <v>1.5</v>
      </c>
      <c r="X17" s="10" t="s">
        <v>94</v>
      </c>
      <c r="Y17" s="21">
        <v>2</v>
      </c>
      <c r="Z17" s="21">
        <v>7</v>
      </c>
      <c r="AA17" s="10">
        <v>0</v>
      </c>
      <c r="AB17" s="10" t="s">
        <v>95</v>
      </c>
      <c r="AC17" s="10" t="s">
        <v>95</v>
      </c>
      <c r="AD17" s="10" t="s">
        <v>96</v>
      </c>
      <c r="AE17" s="10" t="s">
        <v>98</v>
      </c>
      <c r="AF17" s="20">
        <f t="shared" si="8"/>
        <v>2.8</v>
      </c>
      <c r="AG17" s="13">
        <f t="shared" si="1"/>
        <v>6</v>
      </c>
      <c r="AH17" s="7">
        <f t="shared" si="2"/>
        <v>10</v>
      </c>
      <c r="AI17" s="7">
        <f t="shared" si="3"/>
        <v>0</v>
      </c>
      <c r="AJ17" s="7">
        <f t="shared" si="4"/>
        <v>5</v>
      </c>
      <c r="AK17" s="7">
        <f t="shared" si="5"/>
        <v>6</v>
      </c>
      <c r="AL17" s="12">
        <f t="shared" si="9"/>
        <v>27</v>
      </c>
      <c r="AM17" s="14" t="str">
        <f t="shared" si="7"/>
        <v>Barrier</v>
      </c>
      <c r="AN17" s="10" t="s">
        <v>167</v>
      </c>
      <c r="AO17" s="21">
        <v>16</v>
      </c>
      <c r="AP17" s="10" t="s">
        <v>204</v>
      </c>
    </row>
    <row r="18" spans="1:42" x14ac:dyDescent="0.25">
      <c r="A18" s="58">
        <v>45164</v>
      </c>
      <c r="C18" s="10">
        <v>3702044</v>
      </c>
      <c r="D18" s="10" t="s">
        <v>109</v>
      </c>
      <c r="E18" s="11">
        <v>10</v>
      </c>
      <c r="F18" s="38">
        <v>524197.94301843498</v>
      </c>
      <c r="G18" s="38">
        <v>6015328.0124222599</v>
      </c>
      <c r="H18" s="11" t="s">
        <v>110</v>
      </c>
      <c r="I18" s="11" t="s">
        <v>105</v>
      </c>
      <c r="K18" s="11" t="s">
        <v>169</v>
      </c>
      <c r="L18" s="10" t="s">
        <v>92</v>
      </c>
      <c r="M18" s="10" t="s">
        <v>93</v>
      </c>
      <c r="N18" s="21">
        <v>1.2</v>
      </c>
      <c r="O18" s="21">
        <v>30</v>
      </c>
      <c r="P18" s="10" t="s">
        <v>95</v>
      </c>
      <c r="Q18" s="10">
        <v>0.9</v>
      </c>
      <c r="R18" s="10" t="s">
        <v>95</v>
      </c>
      <c r="S18" s="10" t="s">
        <v>95</v>
      </c>
      <c r="T18" s="21">
        <v>100</v>
      </c>
      <c r="U18" s="21">
        <v>5</v>
      </c>
      <c r="V18" s="10">
        <v>0</v>
      </c>
      <c r="W18" s="21">
        <v>1.6</v>
      </c>
      <c r="X18" s="10" t="s">
        <v>94</v>
      </c>
      <c r="Y18" s="21">
        <v>2</v>
      </c>
      <c r="Z18" s="21">
        <v>2.1</v>
      </c>
      <c r="AA18" s="10">
        <v>2</v>
      </c>
      <c r="AB18" s="10" t="s">
        <v>95</v>
      </c>
      <c r="AC18" s="10" t="s">
        <v>94</v>
      </c>
      <c r="AD18" s="10" t="s">
        <v>96</v>
      </c>
      <c r="AE18" s="10" t="s">
        <v>97</v>
      </c>
      <c r="AF18" s="20">
        <f t="shared" si="8"/>
        <v>1.7500000000000002</v>
      </c>
      <c r="AG18" s="13">
        <f t="shared" si="1"/>
        <v>6</v>
      </c>
      <c r="AH18" s="7">
        <f t="shared" si="2"/>
        <v>0</v>
      </c>
      <c r="AI18" s="7">
        <f t="shared" si="3"/>
        <v>0</v>
      </c>
      <c r="AJ18" s="7">
        <f t="shared" si="4"/>
        <v>5</v>
      </c>
      <c r="AK18" s="7">
        <f t="shared" si="5"/>
        <v>6</v>
      </c>
      <c r="AL18" s="12">
        <f t="shared" si="9"/>
        <v>17</v>
      </c>
      <c r="AM18" s="14" t="str">
        <f t="shared" si="7"/>
        <v>Potential</v>
      </c>
      <c r="AN18" s="10" t="s">
        <v>167</v>
      </c>
      <c r="AO18" s="21">
        <v>16</v>
      </c>
      <c r="AP18" s="10" t="s">
        <v>205</v>
      </c>
    </row>
    <row r="19" spans="1:42" x14ac:dyDescent="0.25">
      <c r="A19" s="58">
        <v>45164</v>
      </c>
      <c r="C19" s="10">
        <v>3701553</v>
      </c>
      <c r="D19" s="10" t="s">
        <v>109</v>
      </c>
      <c r="E19" s="11">
        <v>10</v>
      </c>
      <c r="F19" s="38">
        <v>524033.87015316199</v>
      </c>
      <c r="G19" s="38">
        <v>6015628.4655451505</v>
      </c>
      <c r="H19" s="11" t="s">
        <v>110</v>
      </c>
      <c r="I19" s="11" t="s">
        <v>111</v>
      </c>
      <c r="J19" s="79"/>
      <c r="K19" s="11" t="s">
        <v>172</v>
      </c>
      <c r="L19" s="10" t="s">
        <v>92</v>
      </c>
      <c r="M19" s="10" t="s">
        <v>93</v>
      </c>
      <c r="N19" s="21">
        <v>0.8</v>
      </c>
      <c r="O19" s="21">
        <v>12</v>
      </c>
      <c r="P19" s="10" t="s">
        <v>94</v>
      </c>
      <c r="Q19" s="83"/>
      <c r="R19" s="10" t="s">
        <v>94</v>
      </c>
      <c r="S19" s="10" t="s">
        <v>94</v>
      </c>
      <c r="T19" s="87"/>
      <c r="U19" s="21">
        <v>1.5</v>
      </c>
      <c r="V19" s="10">
        <v>0</v>
      </c>
      <c r="W19" s="21">
        <v>0.6</v>
      </c>
      <c r="X19" s="10" t="s">
        <v>94</v>
      </c>
      <c r="Y19" s="21">
        <v>2.5</v>
      </c>
      <c r="Z19" s="21">
        <v>2.4</v>
      </c>
      <c r="AA19" s="10">
        <v>2</v>
      </c>
      <c r="AB19" s="10" t="s">
        <v>94</v>
      </c>
      <c r="AC19" s="10" t="s">
        <v>94</v>
      </c>
      <c r="AD19" s="10" t="s">
        <v>96</v>
      </c>
      <c r="AE19" s="10" t="s">
        <v>97</v>
      </c>
      <c r="AF19" s="20">
        <f t="shared" si="8"/>
        <v>2.9999999999999996</v>
      </c>
      <c r="AG19" s="13">
        <f t="shared" si="1"/>
        <v>0</v>
      </c>
      <c r="AH19" s="7">
        <f t="shared" si="2"/>
        <v>10</v>
      </c>
      <c r="AI19" s="7">
        <f t="shared" si="3"/>
        <v>0</v>
      </c>
      <c r="AJ19" s="7">
        <f t="shared" si="4"/>
        <v>5</v>
      </c>
      <c r="AK19" s="7">
        <f t="shared" si="5"/>
        <v>6</v>
      </c>
      <c r="AL19" s="12">
        <f t="shared" si="9"/>
        <v>21</v>
      </c>
      <c r="AM19" s="14" t="str">
        <f t="shared" si="7"/>
        <v>Barrier</v>
      </c>
      <c r="AN19" s="10" t="s">
        <v>167</v>
      </c>
      <c r="AO19" s="21">
        <v>10</v>
      </c>
      <c r="AP19" s="10" t="s">
        <v>206</v>
      </c>
    </row>
    <row r="20" spans="1:42" x14ac:dyDescent="0.25">
      <c r="A20" s="58">
        <v>45164</v>
      </c>
      <c r="C20" s="10">
        <v>3701554</v>
      </c>
      <c r="D20" s="10" t="s">
        <v>109</v>
      </c>
      <c r="E20" s="11">
        <v>10</v>
      </c>
      <c r="F20" s="38">
        <v>524469.30896673701</v>
      </c>
      <c r="G20" s="38">
        <v>6017855.0494136102</v>
      </c>
      <c r="H20" s="10" t="s">
        <v>112</v>
      </c>
      <c r="I20" s="11" t="s">
        <v>105</v>
      </c>
      <c r="J20" s="79"/>
      <c r="K20" s="11" t="s">
        <v>169</v>
      </c>
      <c r="L20" s="10" t="s">
        <v>92</v>
      </c>
      <c r="M20" s="10" t="s">
        <v>93</v>
      </c>
      <c r="N20" s="21">
        <v>1.9</v>
      </c>
      <c r="O20" s="21">
        <v>26</v>
      </c>
      <c r="P20" s="10" t="s">
        <v>94</v>
      </c>
      <c r="Q20" s="83"/>
      <c r="R20" s="10" t="s">
        <v>94</v>
      </c>
      <c r="S20" s="10" t="s">
        <v>95</v>
      </c>
      <c r="T20" s="10">
        <v>100</v>
      </c>
      <c r="U20" s="10">
        <v>3</v>
      </c>
      <c r="V20" s="10">
        <v>0</v>
      </c>
      <c r="W20" s="10">
        <v>0.8</v>
      </c>
      <c r="X20" s="10" t="s">
        <v>94</v>
      </c>
      <c r="Y20" s="10">
        <v>4</v>
      </c>
      <c r="Z20" s="10">
        <v>1.9</v>
      </c>
      <c r="AA20" s="10">
        <v>1.5</v>
      </c>
      <c r="AB20" s="10" t="s">
        <v>95</v>
      </c>
      <c r="AC20" s="10" t="s">
        <v>94</v>
      </c>
      <c r="AD20" s="10" t="s">
        <v>96</v>
      </c>
      <c r="AE20" s="10" t="s">
        <v>98</v>
      </c>
      <c r="AF20" s="20">
        <f t="shared" si="8"/>
        <v>1</v>
      </c>
      <c r="AG20" s="13">
        <f t="shared" si="1"/>
        <v>3</v>
      </c>
      <c r="AH20" s="7">
        <f t="shared" si="2"/>
        <v>10</v>
      </c>
      <c r="AI20" s="7">
        <f t="shared" si="3"/>
        <v>0</v>
      </c>
      <c r="AJ20" s="7">
        <f t="shared" si="4"/>
        <v>10</v>
      </c>
      <c r="AK20" s="7">
        <f t="shared" si="5"/>
        <v>3</v>
      </c>
      <c r="AL20" s="12">
        <f t="shared" si="9"/>
        <v>26</v>
      </c>
      <c r="AM20" s="14" t="str">
        <f t="shared" si="7"/>
        <v>Barrier</v>
      </c>
      <c r="AN20" s="10" t="s">
        <v>168</v>
      </c>
      <c r="AO20" s="10">
        <v>3</v>
      </c>
      <c r="AP20" s="10" t="s">
        <v>207</v>
      </c>
    </row>
    <row r="21" spans="1:42" x14ac:dyDescent="0.25">
      <c r="A21" s="58">
        <v>45164</v>
      </c>
      <c r="C21" s="10">
        <v>3702078</v>
      </c>
      <c r="D21" s="10" t="s">
        <v>109</v>
      </c>
      <c r="E21" s="10">
        <v>10</v>
      </c>
      <c r="F21" s="21">
        <v>522732.51923286699</v>
      </c>
      <c r="G21" s="21">
        <v>6018668.0588053204</v>
      </c>
      <c r="H21" s="10" t="s">
        <v>113</v>
      </c>
      <c r="I21" s="10" t="s">
        <v>114</v>
      </c>
      <c r="J21" s="79"/>
      <c r="K21" s="10" t="s">
        <v>173</v>
      </c>
      <c r="L21" s="10" t="s">
        <v>107</v>
      </c>
      <c r="M21" s="10" t="s">
        <v>108</v>
      </c>
      <c r="N21" s="21">
        <v>15</v>
      </c>
      <c r="O21" s="21">
        <v>3</v>
      </c>
      <c r="P21" s="83"/>
      <c r="Q21" s="87"/>
      <c r="R21" s="83"/>
      <c r="S21" s="83"/>
      <c r="T21" s="87"/>
      <c r="U21" s="87"/>
      <c r="V21" s="83"/>
      <c r="W21" s="87"/>
      <c r="X21" s="83"/>
      <c r="Y21" s="87"/>
      <c r="Z21" s="87"/>
      <c r="AA21" s="83"/>
      <c r="AB21" s="10" t="s">
        <v>94</v>
      </c>
      <c r="AC21" s="10" t="s">
        <v>94</v>
      </c>
      <c r="AD21" s="83"/>
      <c r="AE21" s="83"/>
      <c r="AF21" s="20">
        <f t="shared" si="8"/>
        <v>0</v>
      </c>
      <c r="AG21" s="13">
        <f t="shared" si="1"/>
        <v>0</v>
      </c>
      <c r="AH21" s="7">
        <f t="shared" si="2"/>
        <v>0</v>
      </c>
      <c r="AI21" s="7">
        <f t="shared" si="3"/>
        <v>0</v>
      </c>
      <c r="AJ21" s="7">
        <f t="shared" si="4"/>
        <v>0</v>
      </c>
      <c r="AK21" s="7">
        <f t="shared" si="5"/>
        <v>0</v>
      </c>
      <c r="AL21" s="12">
        <f t="shared" si="9"/>
        <v>0</v>
      </c>
      <c r="AM21" s="14" t="str">
        <f t="shared" si="7"/>
        <v>Passable</v>
      </c>
      <c r="AN21" s="83"/>
      <c r="AO21" s="87"/>
      <c r="AP21" s="10" t="s">
        <v>208</v>
      </c>
    </row>
    <row r="22" spans="1:42" ht="30" x14ac:dyDescent="0.25">
      <c r="A22" s="58">
        <v>45164</v>
      </c>
      <c r="C22" s="10">
        <v>3702075</v>
      </c>
      <c r="D22" s="10" t="s">
        <v>109</v>
      </c>
      <c r="E22" s="11">
        <v>10</v>
      </c>
      <c r="F22" s="38">
        <v>522191.82840548002</v>
      </c>
      <c r="G22" s="38">
        <v>6020073.4203453399</v>
      </c>
      <c r="H22" s="11" t="s">
        <v>115</v>
      </c>
      <c r="I22" s="11" t="s">
        <v>114</v>
      </c>
      <c r="K22" s="11" t="s">
        <v>173</v>
      </c>
      <c r="L22" s="10" t="s">
        <v>92</v>
      </c>
      <c r="M22" s="10" t="s">
        <v>93</v>
      </c>
      <c r="N22" s="21">
        <v>0.8</v>
      </c>
      <c r="O22" s="21">
        <v>12</v>
      </c>
      <c r="P22" s="10" t="s">
        <v>94</v>
      </c>
      <c r="Q22" s="87"/>
      <c r="R22" s="10" t="s">
        <v>94</v>
      </c>
      <c r="S22" s="10" t="s">
        <v>95</v>
      </c>
      <c r="T22" s="21">
        <v>50</v>
      </c>
      <c r="U22" s="21">
        <v>0.3</v>
      </c>
      <c r="V22" s="10">
        <v>0.2</v>
      </c>
      <c r="W22" s="21">
        <v>0.3</v>
      </c>
      <c r="X22" s="10" t="s">
        <v>94</v>
      </c>
      <c r="Y22" s="21">
        <v>0</v>
      </c>
      <c r="Z22" s="21">
        <v>2</v>
      </c>
      <c r="AA22" s="10">
        <v>2</v>
      </c>
      <c r="AB22" s="10" t="s">
        <v>95</v>
      </c>
      <c r="AC22" s="10" t="s">
        <v>94</v>
      </c>
      <c r="AD22" s="10" t="s">
        <v>96</v>
      </c>
      <c r="AE22" s="10" t="s">
        <v>98</v>
      </c>
      <c r="AF22" s="20">
        <f t="shared" si="8"/>
        <v>2.5</v>
      </c>
      <c r="AG22" s="13">
        <f t="shared" si="1"/>
        <v>0</v>
      </c>
      <c r="AH22" s="7">
        <f t="shared" si="2"/>
        <v>10</v>
      </c>
      <c r="AI22" s="7">
        <f t="shared" si="3"/>
        <v>5</v>
      </c>
      <c r="AJ22" s="7">
        <f t="shared" si="4"/>
        <v>0</v>
      </c>
      <c r="AK22" s="7">
        <f t="shared" si="5"/>
        <v>6</v>
      </c>
      <c r="AL22" s="12">
        <f t="shared" si="9"/>
        <v>21</v>
      </c>
      <c r="AM22" s="14" t="str">
        <f t="shared" si="7"/>
        <v>Barrier</v>
      </c>
      <c r="AN22" s="10" t="s">
        <v>167</v>
      </c>
      <c r="AO22" s="21">
        <v>10</v>
      </c>
      <c r="AP22" s="10" t="s">
        <v>209</v>
      </c>
    </row>
    <row r="23" spans="1:42" x14ac:dyDescent="0.25">
      <c r="A23" s="58">
        <v>45164</v>
      </c>
      <c r="C23" s="10">
        <v>3700005</v>
      </c>
      <c r="D23" s="10" t="s">
        <v>109</v>
      </c>
      <c r="E23" s="11">
        <v>10</v>
      </c>
      <c r="F23" s="38">
        <v>522683.92219934898</v>
      </c>
      <c r="G23" s="38">
        <v>6022233.0128139397</v>
      </c>
      <c r="H23" s="11" t="s">
        <v>115</v>
      </c>
      <c r="I23" s="11" t="s">
        <v>105</v>
      </c>
      <c r="K23" s="11" t="s">
        <v>169</v>
      </c>
      <c r="L23" s="10" t="s">
        <v>92</v>
      </c>
      <c r="M23" s="10" t="s">
        <v>93</v>
      </c>
      <c r="N23" s="21">
        <v>0.75</v>
      </c>
      <c r="O23" s="21">
        <v>23</v>
      </c>
      <c r="P23" s="10" t="s">
        <v>94</v>
      </c>
      <c r="Q23" s="87"/>
      <c r="R23" s="10" t="s">
        <v>94</v>
      </c>
      <c r="S23" s="10" t="s">
        <v>94</v>
      </c>
      <c r="T23" s="87"/>
      <c r="U23" s="21">
        <v>1</v>
      </c>
      <c r="V23" s="10">
        <v>0</v>
      </c>
      <c r="W23" s="21">
        <v>0</v>
      </c>
      <c r="X23" s="10" t="s">
        <v>94</v>
      </c>
      <c r="Y23" s="21">
        <v>4</v>
      </c>
      <c r="Z23" s="21">
        <v>2.2999999999999998</v>
      </c>
      <c r="AA23" s="10">
        <v>2</v>
      </c>
      <c r="AB23" s="10" t="s">
        <v>94</v>
      </c>
      <c r="AC23" s="10" t="s">
        <v>94</v>
      </c>
      <c r="AD23" s="10" t="s">
        <v>96</v>
      </c>
      <c r="AE23" s="10" t="s">
        <v>97</v>
      </c>
      <c r="AF23" s="20">
        <f t="shared" si="8"/>
        <v>3.0666666666666664</v>
      </c>
      <c r="AG23" s="13">
        <f t="shared" si="1"/>
        <v>3</v>
      </c>
      <c r="AH23" s="7">
        <f t="shared" si="2"/>
        <v>10</v>
      </c>
      <c r="AI23" s="7">
        <f t="shared" si="3"/>
        <v>0</v>
      </c>
      <c r="AJ23" s="7">
        <f t="shared" si="4"/>
        <v>10</v>
      </c>
      <c r="AK23" s="7">
        <f t="shared" si="5"/>
        <v>6</v>
      </c>
      <c r="AL23" s="12">
        <f t="shared" si="9"/>
        <v>29</v>
      </c>
      <c r="AM23" s="14" t="str">
        <f t="shared" si="7"/>
        <v>Barrier</v>
      </c>
      <c r="AN23" s="10" t="s">
        <v>167</v>
      </c>
      <c r="AO23" s="21">
        <v>10</v>
      </c>
      <c r="AP23" s="10" t="s">
        <v>210</v>
      </c>
    </row>
    <row r="24" spans="1:42" x14ac:dyDescent="0.25">
      <c r="A24" s="58">
        <v>45164</v>
      </c>
      <c r="C24" s="10">
        <v>3703410</v>
      </c>
      <c r="D24" s="10" t="s">
        <v>109</v>
      </c>
      <c r="E24" s="11">
        <v>10</v>
      </c>
      <c r="F24" s="38">
        <v>522653.56417326903</v>
      </c>
      <c r="G24" s="38">
        <v>6022232.4530630196</v>
      </c>
      <c r="H24" s="11" t="s">
        <v>115</v>
      </c>
      <c r="I24" s="11" t="s">
        <v>116</v>
      </c>
      <c r="K24" s="11" t="s">
        <v>174</v>
      </c>
      <c r="L24" s="10" t="s">
        <v>92</v>
      </c>
      <c r="M24" s="10" t="s">
        <v>93</v>
      </c>
      <c r="N24" s="21">
        <v>0.6</v>
      </c>
      <c r="O24" s="21">
        <v>17</v>
      </c>
      <c r="P24" s="10" t="s">
        <v>94</v>
      </c>
      <c r="Q24" s="87"/>
      <c r="R24" s="10" t="s">
        <v>94</v>
      </c>
      <c r="S24" s="10" t="s">
        <v>94</v>
      </c>
      <c r="T24" s="87"/>
      <c r="U24" s="21">
        <v>2</v>
      </c>
      <c r="V24" s="10">
        <v>0.1</v>
      </c>
      <c r="W24" s="21">
        <v>0.4</v>
      </c>
      <c r="X24" s="10" t="s">
        <v>94</v>
      </c>
      <c r="Y24" s="21">
        <v>1</v>
      </c>
      <c r="Z24" s="21">
        <v>1.9</v>
      </c>
      <c r="AA24" s="10">
        <v>1.5</v>
      </c>
      <c r="AB24" s="10" t="s">
        <v>94</v>
      </c>
      <c r="AC24" s="10" t="s">
        <v>94</v>
      </c>
      <c r="AD24" s="10" t="s">
        <v>96</v>
      </c>
      <c r="AE24" s="10" t="s">
        <v>97</v>
      </c>
      <c r="AF24" s="20">
        <f t="shared" si="8"/>
        <v>3.1666666666666665</v>
      </c>
      <c r="AG24" s="13">
        <f t="shared" si="1"/>
        <v>3</v>
      </c>
      <c r="AH24" s="7">
        <f t="shared" si="2"/>
        <v>10</v>
      </c>
      <c r="AI24" s="7">
        <f t="shared" si="3"/>
        <v>0</v>
      </c>
      <c r="AJ24" s="7">
        <f t="shared" si="4"/>
        <v>5</v>
      </c>
      <c r="AK24" s="7">
        <f t="shared" si="5"/>
        <v>6</v>
      </c>
      <c r="AL24" s="12">
        <f t="shared" si="9"/>
        <v>24</v>
      </c>
      <c r="AM24" s="14" t="str">
        <f t="shared" si="7"/>
        <v>Barrier</v>
      </c>
      <c r="AN24" s="10" t="s">
        <v>168</v>
      </c>
      <c r="AO24" s="21">
        <v>3</v>
      </c>
      <c r="AP24" s="10" t="s">
        <v>211</v>
      </c>
    </row>
    <row r="25" spans="1:42" x14ac:dyDescent="0.25">
      <c r="A25" s="58">
        <v>45164</v>
      </c>
      <c r="C25" s="10">
        <v>3700003</v>
      </c>
      <c r="D25" s="10" t="s">
        <v>109</v>
      </c>
      <c r="E25" s="11">
        <v>10</v>
      </c>
      <c r="F25" s="38">
        <v>523141.36331167398</v>
      </c>
      <c r="G25" s="38">
        <v>6019902.8850418599</v>
      </c>
      <c r="H25" s="11" t="s">
        <v>113</v>
      </c>
      <c r="I25" s="11" t="s">
        <v>105</v>
      </c>
      <c r="K25" s="11" t="s">
        <v>169</v>
      </c>
      <c r="L25" s="10" t="s">
        <v>92</v>
      </c>
      <c r="M25" s="10" t="s">
        <v>93</v>
      </c>
      <c r="N25" s="21">
        <v>1.1000000000000001</v>
      </c>
      <c r="O25" s="21">
        <v>26</v>
      </c>
      <c r="P25" s="10" t="s">
        <v>95</v>
      </c>
      <c r="Q25" s="21">
        <v>0.6</v>
      </c>
      <c r="R25" s="10" t="s">
        <v>95</v>
      </c>
      <c r="S25" s="10" t="s">
        <v>95</v>
      </c>
      <c r="T25" s="21">
        <v>100</v>
      </c>
      <c r="U25" s="21">
        <v>3.5</v>
      </c>
      <c r="V25" s="10">
        <v>0</v>
      </c>
      <c r="W25" s="21">
        <v>0.6</v>
      </c>
      <c r="X25" s="10" t="s">
        <v>94</v>
      </c>
      <c r="Y25" s="21">
        <v>1.5</v>
      </c>
      <c r="Z25" s="21">
        <v>2.2999999999999998</v>
      </c>
      <c r="AA25" s="10">
        <v>1.5</v>
      </c>
      <c r="AB25" s="10" t="s">
        <v>94</v>
      </c>
      <c r="AC25" s="10" t="s">
        <v>94</v>
      </c>
      <c r="AD25" s="10" t="s">
        <v>96</v>
      </c>
      <c r="AE25" s="10" t="s">
        <v>97</v>
      </c>
      <c r="AF25" s="20">
        <f t="shared" si="8"/>
        <v>2.0909090909090904</v>
      </c>
      <c r="AG25" s="13">
        <f t="shared" si="1"/>
        <v>3</v>
      </c>
      <c r="AH25" s="7">
        <f t="shared" si="2"/>
        <v>0</v>
      </c>
      <c r="AI25" s="7">
        <f t="shared" si="3"/>
        <v>0</v>
      </c>
      <c r="AJ25" s="7">
        <f t="shared" si="4"/>
        <v>5</v>
      </c>
      <c r="AK25" s="7">
        <f t="shared" si="5"/>
        <v>6</v>
      </c>
      <c r="AL25" s="12">
        <f t="shared" si="9"/>
        <v>14</v>
      </c>
      <c r="AM25" s="14" t="str">
        <f t="shared" si="7"/>
        <v>Passable</v>
      </c>
      <c r="AP25" s="10" t="s">
        <v>212</v>
      </c>
    </row>
    <row r="26" spans="1:42" ht="30" x14ac:dyDescent="0.25">
      <c r="A26" s="58">
        <v>45164</v>
      </c>
      <c r="C26" s="10">
        <v>3703324</v>
      </c>
      <c r="D26" s="10" t="s">
        <v>109</v>
      </c>
      <c r="E26" s="11">
        <v>10</v>
      </c>
      <c r="F26" s="38">
        <v>519257.54505712399</v>
      </c>
      <c r="G26" s="38">
        <v>6038651.1625280902</v>
      </c>
      <c r="H26" s="11" t="s">
        <v>117</v>
      </c>
      <c r="I26" s="11" t="s">
        <v>118</v>
      </c>
      <c r="K26" s="11" t="s">
        <v>175</v>
      </c>
      <c r="L26" s="10" t="s">
        <v>107</v>
      </c>
      <c r="M26" s="10" t="s">
        <v>108</v>
      </c>
      <c r="N26" s="21">
        <v>3.5</v>
      </c>
      <c r="O26" s="21">
        <v>7</v>
      </c>
      <c r="P26" s="83"/>
      <c r="Q26" s="87"/>
      <c r="R26" s="83"/>
      <c r="S26" s="83"/>
      <c r="T26" s="87"/>
      <c r="U26" s="87"/>
      <c r="V26" s="83"/>
      <c r="W26" s="87"/>
      <c r="X26" s="83"/>
      <c r="Y26" s="87"/>
      <c r="Z26" s="87"/>
      <c r="AA26" s="83"/>
      <c r="AB26" s="10" t="s">
        <v>94</v>
      </c>
      <c r="AC26" s="10" t="s">
        <v>94</v>
      </c>
      <c r="AD26" s="83"/>
      <c r="AE26" s="83"/>
      <c r="AF26" s="20">
        <f t="shared" si="8"/>
        <v>0</v>
      </c>
      <c r="AG26" s="13">
        <f t="shared" si="1"/>
        <v>0</v>
      </c>
      <c r="AH26" s="7">
        <f t="shared" si="2"/>
        <v>0</v>
      </c>
      <c r="AI26" s="7">
        <f t="shared" si="3"/>
        <v>0</v>
      </c>
      <c r="AJ26" s="7">
        <f t="shared" si="4"/>
        <v>0</v>
      </c>
      <c r="AK26" s="7">
        <f t="shared" si="5"/>
        <v>0</v>
      </c>
      <c r="AL26" s="12">
        <f t="shared" si="9"/>
        <v>0</v>
      </c>
      <c r="AM26" s="14" t="str">
        <f t="shared" si="7"/>
        <v>Passable</v>
      </c>
      <c r="AN26" s="83"/>
      <c r="AO26" s="87"/>
      <c r="AP26" s="10" t="s">
        <v>213</v>
      </c>
    </row>
    <row r="27" spans="1:42" ht="30" x14ac:dyDescent="0.25">
      <c r="A27" s="58">
        <v>45164</v>
      </c>
      <c r="C27" s="10">
        <v>3700007</v>
      </c>
      <c r="D27" s="10" t="s">
        <v>109</v>
      </c>
      <c r="E27" s="11">
        <v>10</v>
      </c>
      <c r="F27" s="38">
        <v>520696.14877189801</v>
      </c>
      <c r="G27" s="38">
        <v>6037969.6760748504</v>
      </c>
      <c r="H27" s="11" t="s">
        <v>117</v>
      </c>
      <c r="I27" s="11" t="s">
        <v>105</v>
      </c>
      <c r="K27" s="11" t="s">
        <v>169</v>
      </c>
      <c r="L27" s="10" t="s">
        <v>92</v>
      </c>
      <c r="M27" s="10" t="s">
        <v>93</v>
      </c>
      <c r="N27" s="21">
        <v>1.7</v>
      </c>
      <c r="O27" s="21">
        <v>22</v>
      </c>
      <c r="P27" s="10" t="s">
        <v>94</v>
      </c>
      <c r="Q27" s="87"/>
      <c r="R27" s="10" t="s">
        <v>94</v>
      </c>
      <c r="S27" s="10" t="s">
        <v>95</v>
      </c>
      <c r="T27" s="21">
        <v>100</v>
      </c>
      <c r="U27" s="21">
        <v>4</v>
      </c>
      <c r="V27" s="10">
        <v>0</v>
      </c>
      <c r="W27" s="21">
        <v>0.4</v>
      </c>
      <c r="X27" s="10" t="s">
        <v>94</v>
      </c>
      <c r="Y27" s="21">
        <v>2.5</v>
      </c>
      <c r="Z27" s="21">
        <v>1.7</v>
      </c>
      <c r="AA27" s="10">
        <v>1</v>
      </c>
      <c r="AB27" s="10" t="s">
        <v>94</v>
      </c>
      <c r="AC27" s="10" t="s">
        <v>94</v>
      </c>
      <c r="AD27" s="10" t="s">
        <v>96</v>
      </c>
      <c r="AE27" s="10" t="s">
        <v>97</v>
      </c>
      <c r="AF27" s="20">
        <f t="shared" si="8"/>
        <v>1</v>
      </c>
      <c r="AG27" s="13">
        <f t="shared" si="1"/>
        <v>3</v>
      </c>
      <c r="AH27" s="7">
        <f t="shared" si="2"/>
        <v>10</v>
      </c>
      <c r="AI27" s="7">
        <f t="shared" si="3"/>
        <v>0</v>
      </c>
      <c r="AJ27" s="7">
        <f t="shared" si="4"/>
        <v>5</v>
      </c>
      <c r="AK27" s="7">
        <f t="shared" si="5"/>
        <v>3</v>
      </c>
      <c r="AL27" s="12">
        <f t="shared" si="9"/>
        <v>21</v>
      </c>
      <c r="AM27" s="14" t="str">
        <f t="shared" si="7"/>
        <v>Barrier</v>
      </c>
      <c r="AN27" s="10" t="s">
        <v>168</v>
      </c>
      <c r="AO27" s="21">
        <v>3</v>
      </c>
      <c r="AP27" s="10" t="s">
        <v>214</v>
      </c>
    </row>
    <row r="28" spans="1:42" ht="30" x14ac:dyDescent="0.25">
      <c r="A28" s="58">
        <v>45164</v>
      </c>
      <c r="C28" s="10">
        <v>3700006</v>
      </c>
      <c r="D28" s="10" t="s">
        <v>109</v>
      </c>
      <c r="E28" s="11">
        <v>10</v>
      </c>
      <c r="F28" s="38">
        <v>523556.57243979198</v>
      </c>
      <c r="G28" s="38">
        <v>6024871.5714464001</v>
      </c>
      <c r="H28" s="11" t="s">
        <v>117</v>
      </c>
      <c r="I28" s="11" t="s">
        <v>105</v>
      </c>
      <c r="K28" s="11" t="s">
        <v>169</v>
      </c>
      <c r="L28" s="10" t="s">
        <v>92</v>
      </c>
      <c r="M28" s="10" t="s">
        <v>93</v>
      </c>
      <c r="N28" s="21">
        <v>1.2</v>
      </c>
      <c r="O28" s="21">
        <v>18</v>
      </c>
      <c r="P28" s="10" t="s">
        <v>94</v>
      </c>
      <c r="Q28" s="87"/>
      <c r="R28" s="10" t="s">
        <v>94</v>
      </c>
      <c r="S28" s="10" t="s">
        <v>95</v>
      </c>
      <c r="T28" s="21">
        <v>100</v>
      </c>
      <c r="U28" s="21">
        <v>1</v>
      </c>
      <c r="V28" s="10">
        <v>0</v>
      </c>
      <c r="W28" s="21">
        <v>0.8</v>
      </c>
      <c r="X28" s="10" t="s">
        <v>94</v>
      </c>
      <c r="Y28" s="21">
        <v>0.5</v>
      </c>
      <c r="Z28" s="21">
        <v>3.4</v>
      </c>
      <c r="AA28" s="10">
        <v>1</v>
      </c>
      <c r="AB28" s="10" t="s">
        <v>94</v>
      </c>
      <c r="AC28" s="10" t="s">
        <v>94</v>
      </c>
      <c r="AD28" s="10" t="s">
        <v>96</v>
      </c>
      <c r="AE28" s="10" t="s">
        <v>98</v>
      </c>
      <c r="AF28" s="20">
        <f t="shared" si="8"/>
        <v>2.8333333333333335</v>
      </c>
      <c r="AG28" s="13">
        <f t="shared" si="1"/>
        <v>3</v>
      </c>
      <c r="AH28" s="7">
        <f t="shared" si="2"/>
        <v>10</v>
      </c>
      <c r="AI28" s="7">
        <f t="shared" si="3"/>
        <v>0</v>
      </c>
      <c r="AJ28" s="7">
        <f t="shared" si="4"/>
        <v>0</v>
      </c>
      <c r="AK28" s="7">
        <f t="shared" si="5"/>
        <v>6</v>
      </c>
      <c r="AL28" s="12">
        <f t="shared" si="9"/>
        <v>19</v>
      </c>
      <c r="AM28" s="14" t="str">
        <f t="shared" si="7"/>
        <v>Potential</v>
      </c>
      <c r="AN28" s="10" t="s">
        <v>167</v>
      </c>
      <c r="AO28" s="21">
        <v>10</v>
      </c>
      <c r="AP28" s="10" t="s">
        <v>215</v>
      </c>
    </row>
    <row r="29" spans="1:42" ht="30" x14ac:dyDescent="0.25">
      <c r="A29" s="58">
        <v>45164</v>
      </c>
      <c r="C29" s="10">
        <v>3700019</v>
      </c>
      <c r="D29" s="10" t="s">
        <v>119</v>
      </c>
      <c r="E29" s="11">
        <v>10</v>
      </c>
      <c r="F29" s="38">
        <v>514827.234802661</v>
      </c>
      <c r="G29" s="38">
        <v>6059932.4988985602</v>
      </c>
      <c r="H29" s="11" t="s">
        <v>153</v>
      </c>
      <c r="I29" s="11" t="s">
        <v>105</v>
      </c>
      <c r="K29" s="11" t="s">
        <v>120</v>
      </c>
      <c r="L29" s="10" t="s">
        <v>92</v>
      </c>
      <c r="M29" s="10" t="s">
        <v>93</v>
      </c>
      <c r="N29" s="21">
        <v>1.8</v>
      </c>
      <c r="O29" s="21">
        <v>36</v>
      </c>
      <c r="P29" s="10" t="s">
        <v>94</v>
      </c>
      <c r="Q29" s="87"/>
      <c r="R29" s="10" t="s">
        <v>94</v>
      </c>
      <c r="S29" s="10" t="s">
        <v>95</v>
      </c>
      <c r="T29" s="21">
        <v>100</v>
      </c>
      <c r="U29" s="21">
        <v>3</v>
      </c>
      <c r="V29" s="10">
        <v>0</v>
      </c>
      <c r="W29" s="21">
        <v>0.4</v>
      </c>
      <c r="X29" s="10" t="s">
        <v>95</v>
      </c>
      <c r="Y29" s="21">
        <v>0.5</v>
      </c>
      <c r="Z29" s="21">
        <v>5</v>
      </c>
      <c r="AA29" s="10">
        <v>1</v>
      </c>
      <c r="AB29" s="10" t="s">
        <v>95</v>
      </c>
      <c r="AC29" s="10" t="s">
        <v>94</v>
      </c>
      <c r="AD29" s="10" t="s">
        <v>96</v>
      </c>
      <c r="AE29" s="10" t="s">
        <v>98</v>
      </c>
      <c r="AF29" s="20">
        <f t="shared" si="8"/>
        <v>2.7777777777777777</v>
      </c>
      <c r="AG29" s="13">
        <f t="shared" si="1"/>
        <v>6</v>
      </c>
      <c r="AH29" s="7">
        <f t="shared" si="2"/>
        <v>10</v>
      </c>
      <c r="AI29" s="7">
        <f t="shared" si="3"/>
        <v>0</v>
      </c>
      <c r="AJ29" s="7">
        <f t="shared" si="4"/>
        <v>0</v>
      </c>
      <c r="AK29" s="7">
        <f t="shared" si="5"/>
        <v>6</v>
      </c>
      <c r="AL29" s="12">
        <f t="shared" si="9"/>
        <v>22</v>
      </c>
      <c r="AM29" s="14" t="str">
        <f t="shared" si="7"/>
        <v>Barrier</v>
      </c>
      <c r="AN29" s="10" t="s">
        <v>167</v>
      </c>
      <c r="AO29" s="21">
        <v>10</v>
      </c>
      <c r="AP29" s="10" t="s">
        <v>216</v>
      </c>
    </row>
    <row r="30" spans="1:42" ht="30" x14ac:dyDescent="0.25">
      <c r="A30" s="58">
        <v>45164</v>
      </c>
      <c r="C30" s="10">
        <v>3701847</v>
      </c>
      <c r="D30" s="10" t="s">
        <v>119</v>
      </c>
      <c r="E30" s="11">
        <v>10</v>
      </c>
      <c r="F30" s="38">
        <v>514810.12878570601</v>
      </c>
      <c r="G30" s="38">
        <v>6059906.4789380403</v>
      </c>
      <c r="H30" s="11" t="s">
        <v>153</v>
      </c>
      <c r="I30" s="11" t="s">
        <v>162</v>
      </c>
      <c r="K30" s="11" t="s">
        <v>170</v>
      </c>
      <c r="L30" s="10" t="s">
        <v>103</v>
      </c>
      <c r="M30" s="10" t="s">
        <v>262</v>
      </c>
      <c r="N30" s="87"/>
      <c r="O30" s="87"/>
      <c r="P30" s="83"/>
      <c r="Q30" s="87"/>
      <c r="R30" s="83"/>
      <c r="S30" s="83"/>
      <c r="T30" s="87"/>
      <c r="U30" s="87"/>
      <c r="V30" s="83"/>
      <c r="W30" s="87"/>
      <c r="X30" s="83"/>
      <c r="Y30" s="87"/>
      <c r="Z30" s="87"/>
      <c r="AA30" s="83"/>
      <c r="AB30" s="10" t="s">
        <v>94</v>
      </c>
      <c r="AC30" s="10" t="s">
        <v>94</v>
      </c>
      <c r="AD30" s="83"/>
      <c r="AE30" s="83"/>
      <c r="AF30" s="20">
        <f t="shared" si="8"/>
        <v>0</v>
      </c>
      <c r="AG30" s="13">
        <f t="shared" si="1"/>
        <v>0</v>
      </c>
      <c r="AH30" s="7">
        <f t="shared" si="2"/>
        <v>0</v>
      </c>
      <c r="AI30" s="7">
        <f t="shared" si="3"/>
        <v>0</v>
      </c>
      <c r="AJ30" s="7">
        <f t="shared" si="4"/>
        <v>0</v>
      </c>
      <c r="AK30" s="7">
        <f t="shared" si="5"/>
        <v>0</v>
      </c>
      <c r="AL30" s="12">
        <f t="shared" si="9"/>
        <v>0</v>
      </c>
      <c r="AM30" s="14" t="str">
        <f t="shared" si="7"/>
        <v>Unknown</v>
      </c>
      <c r="AN30" s="88"/>
      <c r="AO30" s="89"/>
      <c r="AP30" s="10" t="s">
        <v>217</v>
      </c>
    </row>
    <row r="31" spans="1:42" ht="30" x14ac:dyDescent="0.25">
      <c r="A31" s="58">
        <v>45164</v>
      </c>
      <c r="C31" s="10">
        <v>3700023</v>
      </c>
      <c r="D31" s="10" t="s">
        <v>119</v>
      </c>
      <c r="E31" s="11">
        <v>10</v>
      </c>
      <c r="F31" s="38">
        <v>510940.257070411</v>
      </c>
      <c r="G31" s="38">
        <v>6071748.0803880496</v>
      </c>
      <c r="H31" s="11" t="s">
        <v>117</v>
      </c>
      <c r="I31" s="11" t="s">
        <v>105</v>
      </c>
      <c r="K31" s="11" t="s">
        <v>169</v>
      </c>
      <c r="L31" s="10" t="s">
        <v>92</v>
      </c>
      <c r="M31" s="10" t="s">
        <v>93</v>
      </c>
      <c r="N31" s="21">
        <v>0.5</v>
      </c>
      <c r="O31" s="21">
        <v>30</v>
      </c>
      <c r="P31" s="10" t="s">
        <v>95</v>
      </c>
      <c r="Q31" s="21">
        <v>0.1</v>
      </c>
      <c r="R31" s="10" t="s">
        <v>95</v>
      </c>
      <c r="S31" s="10" t="s">
        <v>95</v>
      </c>
      <c r="T31" s="21">
        <v>100</v>
      </c>
      <c r="U31" s="21">
        <v>4.5</v>
      </c>
      <c r="V31" s="10">
        <v>0</v>
      </c>
      <c r="W31" s="21">
        <v>0.5</v>
      </c>
      <c r="X31" s="10" t="s">
        <v>95</v>
      </c>
      <c r="Y31" s="21">
        <v>0.5</v>
      </c>
      <c r="Z31" s="21">
        <v>4</v>
      </c>
      <c r="AA31" s="10">
        <v>0</v>
      </c>
      <c r="AB31" s="10" t="s">
        <v>95</v>
      </c>
      <c r="AC31" s="10" t="s">
        <v>94</v>
      </c>
      <c r="AD31" s="10" t="s">
        <v>96</v>
      </c>
      <c r="AE31" s="10" t="s">
        <v>101</v>
      </c>
      <c r="AF31" s="20">
        <f t="shared" si="8"/>
        <v>8</v>
      </c>
      <c r="AG31" s="13">
        <f t="shared" si="1"/>
        <v>6</v>
      </c>
      <c r="AH31" s="7">
        <f t="shared" si="2"/>
        <v>5</v>
      </c>
      <c r="AI31" s="7">
        <f t="shared" si="3"/>
        <v>0</v>
      </c>
      <c r="AJ31" s="7">
        <f t="shared" si="4"/>
        <v>0</v>
      </c>
      <c r="AK31" s="7">
        <f t="shared" si="5"/>
        <v>6</v>
      </c>
      <c r="AL31" s="12">
        <f t="shared" si="9"/>
        <v>17</v>
      </c>
      <c r="AM31" s="14" t="str">
        <f t="shared" si="7"/>
        <v>Potential</v>
      </c>
      <c r="AN31" s="10" t="s">
        <v>167</v>
      </c>
      <c r="AO31" s="21">
        <v>14.5</v>
      </c>
      <c r="AP31" s="10" t="s">
        <v>218</v>
      </c>
    </row>
    <row r="32" spans="1:42" x14ac:dyDescent="0.25">
      <c r="A32" s="58">
        <v>45164</v>
      </c>
      <c r="C32" s="10">
        <v>3700024</v>
      </c>
      <c r="D32" s="10" t="s">
        <v>119</v>
      </c>
      <c r="E32" s="11">
        <v>10</v>
      </c>
      <c r="F32" s="38">
        <v>510950.26997028699</v>
      </c>
      <c r="G32" s="38">
        <v>6072478.8153490396</v>
      </c>
      <c r="H32" s="11" t="s">
        <v>121</v>
      </c>
      <c r="I32" s="11" t="s">
        <v>105</v>
      </c>
      <c r="K32" s="11" t="s">
        <v>169</v>
      </c>
      <c r="L32" s="10" t="s">
        <v>92</v>
      </c>
      <c r="M32" s="10" t="s">
        <v>93</v>
      </c>
      <c r="N32" s="21">
        <v>2</v>
      </c>
      <c r="O32" s="21">
        <v>26</v>
      </c>
      <c r="P32" s="10" t="s">
        <v>95</v>
      </c>
      <c r="Q32" s="21">
        <v>0.25</v>
      </c>
      <c r="R32" s="10" t="s">
        <v>95</v>
      </c>
      <c r="S32" s="10" t="s">
        <v>95</v>
      </c>
      <c r="T32" s="21">
        <v>100</v>
      </c>
      <c r="U32" s="21">
        <v>1.5</v>
      </c>
      <c r="V32" s="10">
        <v>0</v>
      </c>
      <c r="W32" s="21">
        <v>0.3</v>
      </c>
      <c r="X32" s="10" t="s">
        <v>94</v>
      </c>
      <c r="Y32" s="21">
        <v>0.5</v>
      </c>
      <c r="Z32" s="21">
        <v>2.5</v>
      </c>
      <c r="AA32" s="10">
        <v>1.5</v>
      </c>
      <c r="AB32" s="10" t="s">
        <v>94</v>
      </c>
      <c r="AC32" s="10" t="s">
        <v>94</v>
      </c>
      <c r="AD32" s="10" t="s">
        <v>96</v>
      </c>
      <c r="AE32" s="10" t="s">
        <v>101</v>
      </c>
      <c r="AF32" s="20">
        <f t="shared" si="8"/>
        <v>1.25</v>
      </c>
      <c r="AG32" s="13">
        <f t="shared" si="1"/>
        <v>3</v>
      </c>
      <c r="AH32" s="7">
        <f t="shared" si="2"/>
        <v>5</v>
      </c>
      <c r="AI32" s="7">
        <f t="shared" si="3"/>
        <v>0</v>
      </c>
      <c r="AJ32" s="7">
        <f t="shared" si="4"/>
        <v>0</v>
      </c>
      <c r="AK32" s="7">
        <f t="shared" si="5"/>
        <v>3</v>
      </c>
      <c r="AL32" s="12">
        <f t="shared" si="9"/>
        <v>11</v>
      </c>
      <c r="AM32" s="14" t="str">
        <f t="shared" si="7"/>
        <v>Passable</v>
      </c>
      <c r="AP32" s="10" t="s">
        <v>219</v>
      </c>
    </row>
    <row r="33" spans="1:42" ht="30" x14ac:dyDescent="0.25">
      <c r="A33" s="58">
        <v>45164</v>
      </c>
      <c r="C33" s="10">
        <v>3701948</v>
      </c>
      <c r="D33" s="10" t="s">
        <v>119</v>
      </c>
      <c r="E33" s="11">
        <v>10</v>
      </c>
      <c r="F33" s="38">
        <v>509646.19626364601</v>
      </c>
      <c r="G33" s="38">
        <v>6074530.7301764097</v>
      </c>
      <c r="H33" s="11" t="s">
        <v>117</v>
      </c>
      <c r="I33" s="11" t="s">
        <v>163</v>
      </c>
      <c r="K33" s="11" t="s">
        <v>169</v>
      </c>
      <c r="L33" s="10" t="s">
        <v>92</v>
      </c>
      <c r="M33" s="10" t="s">
        <v>93</v>
      </c>
      <c r="N33" s="21">
        <v>1.5</v>
      </c>
      <c r="O33" s="21">
        <v>52</v>
      </c>
      <c r="P33" s="10" t="s">
        <v>94</v>
      </c>
      <c r="Q33" s="87"/>
      <c r="R33" s="10" t="s">
        <v>94</v>
      </c>
      <c r="S33" s="10" t="s">
        <v>94</v>
      </c>
      <c r="T33" s="87"/>
      <c r="U33" s="21">
        <v>10</v>
      </c>
      <c r="V33" s="10">
        <v>0.5</v>
      </c>
      <c r="W33" s="21">
        <v>0</v>
      </c>
      <c r="X33" s="10" t="s">
        <v>94</v>
      </c>
      <c r="Y33" s="21">
        <v>1</v>
      </c>
      <c r="Z33" s="21">
        <v>3.9</v>
      </c>
      <c r="AA33" s="10">
        <v>3</v>
      </c>
      <c r="AB33" s="10" t="s">
        <v>95</v>
      </c>
      <c r="AC33" s="10" t="s">
        <v>94</v>
      </c>
      <c r="AD33" s="10" t="s">
        <v>96</v>
      </c>
      <c r="AE33" s="10" t="s">
        <v>97</v>
      </c>
      <c r="AF33" s="20">
        <f t="shared" si="8"/>
        <v>2.6</v>
      </c>
      <c r="AG33" s="13">
        <f t="shared" si="1"/>
        <v>6</v>
      </c>
      <c r="AH33" s="7">
        <f t="shared" si="2"/>
        <v>10</v>
      </c>
      <c r="AI33" s="7">
        <f t="shared" si="3"/>
        <v>10</v>
      </c>
      <c r="AJ33" s="7">
        <f t="shared" si="4"/>
        <v>5</v>
      </c>
      <c r="AK33" s="7">
        <f t="shared" si="5"/>
        <v>6</v>
      </c>
      <c r="AL33" s="12">
        <f t="shared" si="9"/>
        <v>37</v>
      </c>
      <c r="AM33" s="14" t="str">
        <f t="shared" si="7"/>
        <v>Barrier</v>
      </c>
      <c r="AN33" s="10" t="s">
        <v>167</v>
      </c>
      <c r="AO33" s="21">
        <v>31</v>
      </c>
      <c r="AP33" s="10" t="s">
        <v>220</v>
      </c>
    </row>
    <row r="34" spans="1:42" ht="30" x14ac:dyDescent="0.25">
      <c r="A34" s="58">
        <v>45164</v>
      </c>
      <c r="C34" s="10">
        <v>2200009</v>
      </c>
      <c r="D34" s="10" t="s">
        <v>119</v>
      </c>
      <c r="E34" s="11">
        <v>10</v>
      </c>
      <c r="F34" s="38">
        <v>506481.399008348</v>
      </c>
      <c r="G34" s="38">
        <v>6080584.33729605</v>
      </c>
      <c r="H34" s="11" t="s">
        <v>141</v>
      </c>
      <c r="I34" s="11" t="s">
        <v>105</v>
      </c>
      <c r="K34" s="11" t="s">
        <v>169</v>
      </c>
      <c r="L34" s="10" t="s">
        <v>92</v>
      </c>
      <c r="M34" s="10" t="s">
        <v>93</v>
      </c>
      <c r="N34" s="21">
        <v>1.2</v>
      </c>
      <c r="O34" s="21">
        <v>30</v>
      </c>
      <c r="P34" s="10" t="s">
        <v>95</v>
      </c>
      <c r="Q34" s="21">
        <v>0.1</v>
      </c>
      <c r="R34" s="10" t="s">
        <v>95</v>
      </c>
      <c r="S34" s="10" t="s">
        <v>95</v>
      </c>
      <c r="T34" s="21">
        <v>100</v>
      </c>
      <c r="U34" s="21">
        <v>1.2</v>
      </c>
      <c r="V34" s="10">
        <v>0</v>
      </c>
      <c r="W34" s="21">
        <v>1</v>
      </c>
      <c r="X34" s="10" t="s">
        <v>94</v>
      </c>
      <c r="Y34" s="21">
        <v>2.5</v>
      </c>
      <c r="Z34" s="21">
        <v>4.0999999999999996</v>
      </c>
      <c r="AA34" s="10">
        <v>2.5</v>
      </c>
      <c r="AB34" s="10" t="s">
        <v>95</v>
      </c>
      <c r="AC34" s="10" t="s">
        <v>94</v>
      </c>
      <c r="AD34" s="10" t="s">
        <v>96</v>
      </c>
      <c r="AE34" s="10" t="s">
        <v>101</v>
      </c>
      <c r="AF34" s="20">
        <f t="shared" si="8"/>
        <v>3.4166666666666665</v>
      </c>
      <c r="AG34" s="13">
        <f t="shared" si="1"/>
        <v>6</v>
      </c>
      <c r="AH34" s="7">
        <f t="shared" si="2"/>
        <v>5</v>
      </c>
      <c r="AI34" s="7">
        <f t="shared" si="3"/>
        <v>0</v>
      </c>
      <c r="AJ34" s="7">
        <f t="shared" si="4"/>
        <v>5</v>
      </c>
      <c r="AK34" s="7">
        <f t="shared" si="5"/>
        <v>6</v>
      </c>
      <c r="AL34" s="12">
        <f t="shared" si="9"/>
        <v>22</v>
      </c>
      <c r="AM34" s="14" t="str">
        <f t="shared" si="7"/>
        <v>Barrier</v>
      </c>
      <c r="AN34" s="10" t="s">
        <v>167</v>
      </c>
      <c r="AO34" s="21">
        <v>10</v>
      </c>
      <c r="AP34" s="10" t="s">
        <v>221</v>
      </c>
    </row>
    <row r="35" spans="1:42" ht="30" x14ac:dyDescent="0.25">
      <c r="A35" s="58">
        <v>45164</v>
      </c>
      <c r="C35" s="10">
        <v>2200012</v>
      </c>
      <c r="D35" s="10" t="s">
        <v>119</v>
      </c>
      <c r="E35" s="11">
        <v>10</v>
      </c>
      <c r="F35" s="38">
        <v>505028.98706918699</v>
      </c>
      <c r="G35" s="38">
        <v>6083597.00069426</v>
      </c>
      <c r="H35" s="11" t="s">
        <v>152</v>
      </c>
      <c r="I35" s="11" t="s">
        <v>105</v>
      </c>
      <c r="K35" s="11" t="s">
        <v>169</v>
      </c>
      <c r="L35" s="10" t="s">
        <v>92</v>
      </c>
      <c r="M35" s="10" t="s">
        <v>93</v>
      </c>
      <c r="N35" s="21">
        <v>0.9</v>
      </c>
      <c r="O35" s="21">
        <v>55</v>
      </c>
      <c r="P35" s="10" t="s">
        <v>94</v>
      </c>
      <c r="Q35" s="87"/>
      <c r="R35" s="10" t="s">
        <v>94</v>
      </c>
      <c r="S35" s="10" t="s">
        <v>94</v>
      </c>
      <c r="T35" s="87"/>
      <c r="U35" s="21">
        <v>8</v>
      </c>
      <c r="V35" s="10">
        <v>0.6</v>
      </c>
      <c r="W35" s="21">
        <v>0.1</v>
      </c>
      <c r="X35" s="10" t="s">
        <v>94</v>
      </c>
      <c r="Y35" s="21">
        <v>0</v>
      </c>
      <c r="Z35" s="21">
        <v>2.5</v>
      </c>
      <c r="AA35" s="10">
        <v>3</v>
      </c>
      <c r="AB35" s="10" t="s">
        <v>94</v>
      </c>
      <c r="AC35" s="10" t="s">
        <v>94</v>
      </c>
      <c r="AD35" s="10" t="s">
        <v>96</v>
      </c>
      <c r="AE35" s="10" t="s">
        <v>97</v>
      </c>
      <c r="AF35" s="20">
        <f t="shared" si="8"/>
        <v>2.7777777777777777</v>
      </c>
      <c r="AG35" s="13">
        <f t="shared" si="1"/>
        <v>6</v>
      </c>
      <c r="AH35" s="7">
        <f t="shared" si="2"/>
        <v>10</v>
      </c>
      <c r="AI35" s="7">
        <f t="shared" si="3"/>
        <v>10</v>
      </c>
      <c r="AJ35" s="7">
        <f t="shared" si="4"/>
        <v>0</v>
      </c>
      <c r="AK35" s="7">
        <f t="shared" si="5"/>
        <v>6</v>
      </c>
      <c r="AL35" s="12">
        <f t="shared" si="9"/>
        <v>32</v>
      </c>
      <c r="AM35" s="14" t="str">
        <f t="shared" si="7"/>
        <v>Barrier</v>
      </c>
      <c r="AN35" s="10" t="s">
        <v>168</v>
      </c>
      <c r="AO35" s="21">
        <v>4.5</v>
      </c>
      <c r="AP35" s="10" t="s">
        <v>222</v>
      </c>
    </row>
    <row r="36" spans="1:42" ht="30" x14ac:dyDescent="0.25">
      <c r="A36" s="58">
        <v>45164</v>
      </c>
      <c r="C36" s="10">
        <v>3702657</v>
      </c>
      <c r="D36" s="10" t="s">
        <v>119</v>
      </c>
      <c r="E36" s="11">
        <v>10</v>
      </c>
      <c r="F36" s="38">
        <v>512259.622649286</v>
      </c>
      <c r="G36" s="38">
        <v>6058146.6589514902</v>
      </c>
      <c r="H36" s="11" t="s">
        <v>153</v>
      </c>
      <c r="I36" s="11" t="s">
        <v>122</v>
      </c>
      <c r="K36" s="11" t="s">
        <v>176</v>
      </c>
      <c r="L36" s="10" t="s">
        <v>92</v>
      </c>
      <c r="M36" s="10" t="s">
        <v>93</v>
      </c>
      <c r="N36" s="21">
        <v>0.7</v>
      </c>
      <c r="O36" s="21">
        <v>13.5</v>
      </c>
      <c r="P36" s="10" t="s">
        <v>94</v>
      </c>
      <c r="Q36" s="87"/>
      <c r="R36" s="10" t="s">
        <v>94</v>
      </c>
      <c r="S36" s="10" t="s">
        <v>94</v>
      </c>
      <c r="T36" s="87"/>
      <c r="U36" s="21">
        <v>0.5</v>
      </c>
      <c r="V36" s="10">
        <v>0.3</v>
      </c>
      <c r="W36" s="21">
        <v>0</v>
      </c>
      <c r="X36" s="10" t="s">
        <v>94</v>
      </c>
      <c r="Y36" s="21">
        <v>3</v>
      </c>
      <c r="Z36" s="21">
        <v>1</v>
      </c>
      <c r="AA36" s="10">
        <v>5</v>
      </c>
      <c r="AB36" s="10" t="s">
        <v>94</v>
      </c>
      <c r="AC36" s="10" t="s">
        <v>94</v>
      </c>
      <c r="AD36" s="10" t="s">
        <v>96</v>
      </c>
      <c r="AE36" s="10" t="s">
        <v>97</v>
      </c>
      <c r="AF36" s="20">
        <f t="shared" si="8"/>
        <v>1.4285714285714286</v>
      </c>
      <c r="AG36" s="13">
        <f t="shared" si="1"/>
        <v>0</v>
      </c>
      <c r="AH36" s="7">
        <f t="shared" si="2"/>
        <v>10</v>
      </c>
      <c r="AI36" s="7">
        <f t="shared" si="3"/>
        <v>10</v>
      </c>
      <c r="AJ36" s="7">
        <f t="shared" si="4"/>
        <v>10</v>
      </c>
      <c r="AK36" s="7">
        <f t="shared" si="5"/>
        <v>6</v>
      </c>
      <c r="AL36" s="12">
        <f t="shared" si="9"/>
        <v>36</v>
      </c>
      <c r="AM36" s="14" t="str">
        <f t="shared" si="7"/>
        <v>Barrier</v>
      </c>
      <c r="AN36" s="10" t="s">
        <v>168</v>
      </c>
      <c r="AO36" s="21">
        <v>3</v>
      </c>
      <c r="AP36" s="10" t="s">
        <v>223</v>
      </c>
    </row>
    <row r="37" spans="1:42" ht="30" x14ac:dyDescent="0.25">
      <c r="A37" s="58">
        <v>45164</v>
      </c>
      <c r="C37" s="10">
        <v>3702663</v>
      </c>
      <c r="D37" s="10" t="s">
        <v>119</v>
      </c>
      <c r="E37" s="11">
        <v>10</v>
      </c>
      <c r="F37" s="38">
        <v>511738.76884141698</v>
      </c>
      <c r="G37" s="38">
        <v>6059302.8895997899</v>
      </c>
      <c r="H37" s="11" t="s">
        <v>153</v>
      </c>
      <c r="I37" s="11" t="s">
        <v>122</v>
      </c>
      <c r="J37" s="22">
        <v>7.1</v>
      </c>
      <c r="K37" s="11" t="s">
        <v>176</v>
      </c>
      <c r="L37" s="10" t="s">
        <v>92</v>
      </c>
      <c r="M37" s="10" t="s">
        <v>93</v>
      </c>
      <c r="N37" s="21">
        <v>1.2</v>
      </c>
      <c r="O37" s="21">
        <v>17</v>
      </c>
      <c r="P37" s="10" t="s">
        <v>94</v>
      </c>
      <c r="Q37" s="87"/>
      <c r="R37" s="10" t="s">
        <v>94</v>
      </c>
      <c r="S37" s="10" t="s">
        <v>94</v>
      </c>
      <c r="T37" s="87"/>
      <c r="U37" s="21">
        <v>4</v>
      </c>
      <c r="V37" s="10">
        <v>0.3</v>
      </c>
      <c r="W37" s="21">
        <v>1</v>
      </c>
      <c r="X37" s="10" t="s">
        <v>94</v>
      </c>
      <c r="Y37" s="21">
        <v>3</v>
      </c>
      <c r="Z37" s="21">
        <v>3.6</v>
      </c>
      <c r="AA37" s="10">
        <v>4</v>
      </c>
      <c r="AB37" s="10" t="s">
        <v>94</v>
      </c>
      <c r="AC37" s="10" t="s">
        <v>94</v>
      </c>
      <c r="AD37" s="10" t="s">
        <v>96</v>
      </c>
      <c r="AE37" s="10" t="s">
        <v>98</v>
      </c>
      <c r="AF37" s="20">
        <f t="shared" si="8"/>
        <v>3</v>
      </c>
      <c r="AG37" s="13">
        <f t="shared" si="1"/>
        <v>3</v>
      </c>
      <c r="AH37" s="7">
        <f t="shared" si="2"/>
        <v>10</v>
      </c>
      <c r="AI37" s="7">
        <f t="shared" si="3"/>
        <v>10</v>
      </c>
      <c r="AJ37" s="7">
        <f t="shared" si="4"/>
        <v>10</v>
      </c>
      <c r="AK37" s="7">
        <f t="shared" si="5"/>
        <v>6</v>
      </c>
      <c r="AL37" s="12">
        <f t="shared" si="9"/>
        <v>39</v>
      </c>
      <c r="AM37" s="14" t="str">
        <f t="shared" si="7"/>
        <v>Barrier</v>
      </c>
      <c r="AN37" s="10" t="s">
        <v>167</v>
      </c>
      <c r="AO37" s="21">
        <v>13</v>
      </c>
      <c r="AP37" s="10" t="s">
        <v>224</v>
      </c>
    </row>
    <row r="38" spans="1:42" ht="30" x14ac:dyDescent="0.25">
      <c r="A38" s="58">
        <v>45164</v>
      </c>
      <c r="C38" s="10">
        <v>3702665</v>
      </c>
      <c r="D38" s="10" t="s">
        <v>119</v>
      </c>
      <c r="E38" s="11">
        <v>10</v>
      </c>
      <c r="F38" s="38">
        <v>511840.77801849903</v>
      </c>
      <c r="G38" s="38">
        <v>6060224.9613760198</v>
      </c>
      <c r="H38" s="11" t="s">
        <v>153</v>
      </c>
      <c r="I38" s="11" t="s">
        <v>122</v>
      </c>
      <c r="K38" s="11" t="s">
        <v>176</v>
      </c>
      <c r="L38" s="10" t="s">
        <v>92</v>
      </c>
      <c r="M38" s="10" t="s">
        <v>93</v>
      </c>
      <c r="N38" s="21">
        <v>1.2</v>
      </c>
      <c r="O38" s="21">
        <v>20</v>
      </c>
      <c r="P38" s="10" t="s">
        <v>94</v>
      </c>
      <c r="Q38" s="87"/>
      <c r="R38" s="10" t="s">
        <v>94</v>
      </c>
      <c r="S38" s="10" t="s">
        <v>94</v>
      </c>
      <c r="T38" s="87"/>
      <c r="U38" s="21">
        <v>2</v>
      </c>
      <c r="V38" s="10">
        <v>1</v>
      </c>
      <c r="W38" s="21">
        <v>0.7</v>
      </c>
      <c r="X38" s="10" t="s">
        <v>95</v>
      </c>
      <c r="Y38" s="21">
        <v>3</v>
      </c>
      <c r="Z38" s="21">
        <v>3.5</v>
      </c>
      <c r="AA38" s="10">
        <v>3.5</v>
      </c>
      <c r="AB38" s="10" t="s">
        <v>94</v>
      </c>
      <c r="AC38" s="10" t="s">
        <v>94</v>
      </c>
      <c r="AD38" s="10" t="s">
        <v>96</v>
      </c>
      <c r="AE38" s="10" t="s">
        <v>97</v>
      </c>
      <c r="AF38" s="20">
        <f t="shared" si="8"/>
        <v>2.916666666666667</v>
      </c>
      <c r="AG38" s="13">
        <f t="shared" si="1"/>
        <v>3</v>
      </c>
      <c r="AH38" s="7">
        <f t="shared" si="2"/>
        <v>10</v>
      </c>
      <c r="AI38" s="7">
        <f t="shared" si="3"/>
        <v>10</v>
      </c>
      <c r="AJ38" s="7">
        <f t="shared" si="4"/>
        <v>10</v>
      </c>
      <c r="AK38" s="7">
        <f t="shared" si="5"/>
        <v>6</v>
      </c>
      <c r="AL38" s="12">
        <f t="shared" si="9"/>
        <v>39</v>
      </c>
      <c r="AM38" s="14" t="str">
        <f t="shared" si="7"/>
        <v>Barrier</v>
      </c>
      <c r="AN38" s="10" t="s">
        <v>167</v>
      </c>
      <c r="AO38" s="21">
        <v>10</v>
      </c>
      <c r="AP38" s="10" t="s">
        <v>225</v>
      </c>
    </row>
    <row r="39" spans="1:42" ht="30" x14ac:dyDescent="0.25">
      <c r="A39" s="58">
        <v>45167</v>
      </c>
      <c r="C39" s="10">
        <v>3703459</v>
      </c>
      <c r="D39" s="10" t="s">
        <v>109</v>
      </c>
      <c r="E39" s="11">
        <v>10</v>
      </c>
      <c r="F39" s="38">
        <v>513782.75756309798</v>
      </c>
      <c r="G39" s="38">
        <v>6067300.6120559797</v>
      </c>
      <c r="H39" s="11" t="s">
        <v>123</v>
      </c>
      <c r="I39" s="11" t="s">
        <v>124</v>
      </c>
      <c r="K39" s="11" t="s">
        <v>177</v>
      </c>
      <c r="L39" s="10" t="s">
        <v>92</v>
      </c>
      <c r="M39" s="10" t="s">
        <v>93</v>
      </c>
      <c r="N39" s="21">
        <v>0.75</v>
      </c>
      <c r="O39" s="21">
        <v>12</v>
      </c>
      <c r="P39" s="10" t="s">
        <v>94</v>
      </c>
      <c r="Q39" s="87"/>
      <c r="R39" s="10" t="s">
        <v>94</v>
      </c>
      <c r="S39" s="10" t="s">
        <v>94</v>
      </c>
      <c r="T39" s="87"/>
      <c r="U39" s="21">
        <v>1.5</v>
      </c>
      <c r="V39" s="10">
        <v>0</v>
      </c>
      <c r="W39" s="21">
        <v>0.7</v>
      </c>
      <c r="X39" s="10" t="s">
        <v>95</v>
      </c>
      <c r="Y39" s="21">
        <v>2</v>
      </c>
      <c r="Z39" s="21">
        <v>2.2000000000000002</v>
      </c>
      <c r="AA39" s="10">
        <v>2</v>
      </c>
      <c r="AB39" s="10" t="s">
        <v>94</v>
      </c>
      <c r="AC39" s="10" t="s">
        <v>95</v>
      </c>
      <c r="AD39" s="10" t="s">
        <v>96</v>
      </c>
      <c r="AE39" s="10" t="s">
        <v>101</v>
      </c>
      <c r="AF39" s="20">
        <f t="shared" si="8"/>
        <v>2.9333333333333336</v>
      </c>
      <c r="AG39" s="13">
        <f t="shared" si="1"/>
        <v>0</v>
      </c>
      <c r="AH39" s="7">
        <f t="shared" si="2"/>
        <v>10</v>
      </c>
      <c r="AI39" s="7">
        <f t="shared" si="3"/>
        <v>0</v>
      </c>
      <c r="AJ39" s="7">
        <f t="shared" si="4"/>
        <v>5</v>
      </c>
      <c r="AK39" s="7">
        <f t="shared" si="5"/>
        <v>6</v>
      </c>
      <c r="AL39" s="12">
        <f t="shared" si="9"/>
        <v>21</v>
      </c>
      <c r="AM39" s="14" t="str">
        <f t="shared" si="7"/>
        <v>Barrier</v>
      </c>
      <c r="AN39" s="10" t="s">
        <v>167</v>
      </c>
      <c r="AO39" s="21">
        <v>10</v>
      </c>
      <c r="AP39" s="10" t="s">
        <v>226</v>
      </c>
    </row>
    <row r="40" spans="1:42" ht="30" x14ac:dyDescent="0.25">
      <c r="A40" s="58">
        <v>45167</v>
      </c>
      <c r="C40" s="10">
        <v>2023082901</v>
      </c>
      <c r="D40" s="10" t="s">
        <v>119</v>
      </c>
      <c r="E40" s="11">
        <v>10</v>
      </c>
      <c r="F40" s="38">
        <v>513128.00473354402</v>
      </c>
      <c r="G40" s="38">
        <v>6067172.5522272699</v>
      </c>
      <c r="H40" s="11" t="s">
        <v>123</v>
      </c>
      <c r="I40" s="11" t="s">
        <v>124</v>
      </c>
      <c r="K40" s="11" t="s">
        <v>177</v>
      </c>
      <c r="L40" s="10" t="s">
        <v>107</v>
      </c>
      <c r="M40" s="10" t="s">
        <v>108</v>
      </c>
      <c r="N40" s="21">
        <v>15</v>
      </c>
      <c r="O40" s="21">
        <v>5</v>
      </c>
      <c r="P40" s="83"/>
      <c r="Q40" s="87"/>
      <c r="R40" s="83"/>
      <c r="S40" s="83"/>
      <c r="T40" s="87"/>
      <c r="U40" s="87"/>
      <c r="V40" s="83"/>
      <c r="W40" s="87"/>
      <c r="X40" s="83"/>
      <c r="Y40" s="87"/>
      <c r="Z40" s="87"/>
      <c r="AA40" s="83"/>
      <c r="AB40" s="10" t="s">
        <v>94</v>
      </c>
      <c r="AC40" s="10" t="s">
        <v>94</v>
      </c>
      <c r="AD40" s="83"/>
      <c r="AE40" s="83"/>
      <c r="AF40" s="20">
        <f t="shared" si="8"/>
        <v>0</v>
      </c>
      <c r="AG40" s="13">
        <f t="shared" si="1"/>
        <v>0</v>
      </c>
      <c r="AH40" s="7">
        <f t="shared" si="2"/>
        <v>0</v>
      </c>
      <c r="AI40" s="7">
        <f t="shared" si="3"/>
        <v>0</v>
      </c>
      <c r="AJ40" s="7">
        <f t="shared" si="4"/>
        <v>0</v>
      </c>
      <c r="AK40" s="7">
        <f t="shared" si="5"/>
        <v>0</v>
      </c>
      <c r="AL40" s="12">
        <f t="shared" si="9"/>
        <v>0</v>
      </c>
      <c r="AM40" s="14" t="str">
        <f t="shared" si="7"/>
        <v>Passable</v>
      </c>
      <c r="AN40" s="83"/>
      <c r="AO40" s="87"/>
      <c r="AP40" s="10" t="s">
        <v>227</v>
      </c>
    </row>
    <row r="41" spans="1:42" ht="30" x14ac:dyDescent="0.25">
      <c r="A41" s="58">
        <v>45168</v>
      </c>
      <c r="C41" s="10">
        <v>3702446</v>
      </c>
      <c r="D41" s="10" t="s">
        <v>154</v>
      </c>
      <c r="E41" s="11">
        <v>10</v>
      </c>
      <c r="F41" s="38">
        <v>497845.71185321099</v>
      </c>
      <c r="G41" s="38">
        <v>6060884.2917060703</v>
      </c>
      <c r="H41" s="11" t="s">
        <v>126</v>
      </c>
      <c r="I41" s="11" t="s">
        <v>155</v>
      </c>
      <c r="K41" s="11" t="s">
        <v>190</v>
      </c>
      <c r="L41" s="10" t="s">
        <v>92</v>
      </c>
      <c r="M41" s="10" t="s">
        <v>93</v>
      </c>
      <c r="N41" s="21">
        <v>0.6</v>
      </c>
      <c r="O41" s="21">
        <v>15</v>
      </c>
      <c r="P41" s="10" t="s">
        <v>94</v>
      </c>
      <c r="Q41" s="87"/>
      <c r="R41" s="10" t="s">
        <v>94</v>
      </c>
      <c r="S41" s="10" t="s">
        <v>94</v>
      </c>
      <c r="T41" s="87"/>
      <c r="U41" s="21">
        <v>2.5</v>
      </c>
      <c r="V41" s="10">
        <v>0.5</v>
      </c>
      <c r="W41" s="21">
        <v>0</v>
      </c>
      <c r="X41" s="10" t="s">
        <v>95</v>
      </c>
      <c r="Y41" s="21">
        <v>6</v>
      </c>
      <c r="Z41" s="21">
        <v>0</v>
      </c>
      <c r="AA41" s="10">
        <v>0</v>
      </c>
      <c r="AB41" s="10" t="s">
        <v>94</v>
      </c>
      <c r="AC41" s="10" t="s">
        <v>94</v>
      </c>
      <c r="AD41" s="10" t="s">
        <v>96</v>
      </c>
      <c r="AE41" s="10" t="s">
        <v>97</v>
      </c>
      <c r="AF41" s="20">
        <f t="shared" si="8"/>
        <v>0</v>
      </c>
      <c r="AG41" s="13">
        <f t="shared" si="1"/>
        <v>3</v>
      </c>
      <c r="AH41" s="7">
        <f t="shared" si="2"/>
        <v>10</v>
      </c>
      <c r="AI41" s="7">
        <f t="shared" si="3"/>
        <v>10</v>
      </c>
      <c r="AJ41" s="7">
        <f t="shared" si="4"/>
        <v>10</v>
      </c>
      <c r="AK41" s="7">
        <f t="shared" si="5"/>
        <v>0</v>
      </c>
      <c r="AL41" s="12">
        <f t="shared" si="9"/>
        <v>33</v>
      </c>
      <c r="AM41" s="14" t="str">
        <f t="shared" si="7"/>
        <v>Barrier</v>
      </c>
      <c r="AN41" s="10" t="s">
        <v>168</v>
      </c>
      <c r="AO41" s="21">
        <v>3</v>
      </c>
      <c r="AP41" s="10" t="s">
        <v>228</v>
      </c>
    </row>
    <row r="42" spans="1:42" ht="30" x14ac:dyDescent="0.25">
      <c r="A42" s="58">
        <v>45168</v>
      </c>
      <c r="C42" s="10">
        <v>3702959</v>
      </c>
      <c r="D42" s="10" t="s">
        <v>154</v>
      </c>
      <c r="E42" s="11">
        <v>10</v>
      </c>
      <c r="F42" s="38">
        <v>494175.80537313898</v>
      </c>
      <c r="G42" s="38">
        <v>6055953.3161710603</v>
      </c>
      <c r="H42" s="11" t="s">
        <v>125</v>
      </c>
      <c r="I42" s="11" t="s">
        <v>155</v>
      </c>
      <c r="K42" s="11" t="s">
        <v>179</v>
      </c>
      <c r="L42" s="10" t="s">
        <v>92</v>
      </c>
      <c r="M42" s="10" t="s">
        <v>93</v>
      </c>
      <c r="N42" s="21">
        <v>1.5</v>
      </c>
      <c r="O42" s="21">
        <v>12</v>
      </c>
      <c r="P42" s="10" t="s">
        <v>94</v>
      </c>
      <c r="Q42" s="87"/>
      <c r="R42" s="10" t="s">
        <v>94</v>
      </c>
      <c r="S42" s="10" t="s">
        <v>95</v>
      </c>
      <c r="T42" s="21">
        <v>100</v>
      </c>
      <c r="U42" s="21">
        <v>0.5</v>
      </c>
      <c r="V42" s="10">
        <v>0</v>
      </c>
      <c r="W42" s="21">
        <v>1</v>
      </c>
      <c r="X42" s="10" t="s">
        <v>94</v>
      </c>
      <c r="Y42" s="21">
        <v>1</v>
      </c>
      <c r="Z42" s="21">
        <v>3.4</v>
      </c>
      <c r="AA42" s="10">
        <v>1</v>
      </c>
      <c r="AB42" s="10" t="s">
        <v>95</v>
      </c>
      <c r="AC42" s="10" t="s">
        <v>94</v>
      </c>
      <c r="AD42" s="10" t="s">
        <v>96</v>
      </c>
      <c r="AE42" s="10" t="s">
        <v>98</v>
      </c>
      <c r="AF42" s="20">
        <f t="shared" si="8"/>
        <v>2.2666666666666666</v>
      </c>
      <c r="AG42" s="13">
        <f t="shared" si="1"/>
        <v>0</v>
      </c>
      <c r="AH42" s="7">
        <f t="shared" si="2"/>
        <v>10</v>
      </c>
      <c r="AI42" s="7">
        <f t="shared" si="3"/>
        <v>0</v>
      </c>
      <c r="AJ42" s="7">
        <f t="shared" si="4"/>
        <v>5</v>
      </c>
      <c r="AK42" s="7">
        <f t="shared" si="5"/>
        <v>6</v>
      </c>
      <c r="AL42" s="12">
        <f t="shared" si="9"/>
        <v>21</v>
      </c>
      <c r="AM42" s="14" t="str">
        <f t="shared" si="7"/>
        <v>Barrier</v>
      </c>
      <c r="AN42" s="10" t="s">
        <v>167</v>
      </c>
      <c r="AO42" s="21">
        <v>10</v>
      </c>
      <c r="AP42" s="10" t="s">
        <v>229</v>
      </c>
    </row>
    <row r="43" spans="1:42" ht="30" x14ac:dyDescent="0.25">
      <c r="A43" s="58">
        <v>45168</v>
      </c>
      <c r="C43" s="10">
        <v>3702445</v>
      </c>
      <c r="D43" s="10" t="s">
        <v>154</v>
      </c>
      <c r="E43" s="11">
        <v>10</v>
      </c>
      <c r="F43" s="38">
        <v>494123.58235798101</v>
      </c>
      <c r="G43" s="38">
        <v>6054452.3932029996</v>
      </c>
      <c r="H43" s="11" t="s">
        <v>126</v>
      </c>
      <c r="I43" s="11" t="s">
        <v>155</v>
      </c>
      <c r="K43" s="11" t="s">
        <v>178</v>
      </c>
      <c r="L43" s="10" t="s">
        <v>92</v>
      </c>
      <c r="M43" s="10" t="s">
        <v>93</v>
      </c>
      <c r="N43" s="21">
        <v>3.5</v>
      </c>
      <c r="O43" s="21">
        <v>25</v>
      </c>
      <c r="P43" s="10" t="s">
        <v>94</v>
      </c>
      <c r="Q43" s="87"/>
      <c r="R43" s="10" t="s">
        <v>94</v>
      </c>
      <c r="S43" s="10" t="s">
        <v>94</v>
      </c>
      <c r="T43" s="87"/>
      <c r="U43" s="21">
        <v>1</v>
      </c>
      <c r="V43" s="10">
        <v>0.5</v>
      </c>
      <c r="W43" s="21">
        <v>0.4</v>
      </c>
      <c r="X43" s="10" t="s">
        <v>94</v>
      </c>
      <c r="Y43" s="21">
        <v>2.5</v>
      </c>
      <c r="Z43" s="21">
        <v>3.5</v>
      </c>
      <c r="AA43" s="10">
        <v>1.5</v>
      </c>
      <c r="AB43" s="10" t="s">
        <v>95</v>
      </c>
      <c r="AC43" s="10" t="s">
        <v>94</v>
      </c>
      <c r="AD43" s="10" t="s">
        <v>96</v>
      </c>
      <c r="AE43" s="10" t="s">
        <v>98</v>
      </c>
      <c r="AF43" s="20">
        <f t="shared" si="8"/>
        <v>1</v>
      </c>
      <c r="AG43" s="13">
        <f t="shared" si="1"/>
        <v>3</v>
      </c>
      <c r="AH43" s="7">
        <f t="shared" si="2"/>
        <v>10</v>
      </c>
      <c r="AI43" s="7">
        <f t="shared" si="3"/>
        <v>10</v>
      </c>
      <c r="AJ43" s="7">
        <f t="shared" si="4"/>
        <v>5</v>
      </c>
      <c r="AK43" s="7">
        <f t="shared" si="5"/>
        <v>3</v>
      </c>
      <c r="AL43" s="12">
        <f t="shared" si="9"/>
        <v>31</v>
      </c>
      <c r="AM43" s="14" t="str">
        <f t="shared" si="7"/>
        <v>Barrier</v>
      </c>
      <c r="AN43" s="10" t="s">
        <v>167</v>
      </c>
      <c r="AO43" s="21">
        <v>10</v>
      </c>
      <c r="AP43" s="10" t="s">
        <v>230</v>
      </c>
    </row>
    <row r="44" spans="1:42" ht="30" x14ac:dyDescent="0.25">
      <c r="A44" s="58">
        <v>45168</v>
      </c>
      <c r="C44" s="10">
        <v>3703222</v>
      </c>
      <c r="D44" s="10" t="s">
        <v>156</v>
      </c>
      <c r="E44" s="11">
        <v>10</v>
      </c>
      <c r="F44" s="38">
        <v>516272.82048513502</v>
      </c>
      <c r="G44" s="38">
        <v>6039291.4720805902</v>
      </c>
      <c r="H44" s="11" t="s">
        <v>127</v>
      </c>
      <c r="I44" s="11" t="s">
        <v>128</v>
      </c>
      <c r="K44" s="11" t="s">
        <v>175</v>
      </c>
      <c r="L44" s="10" t="s">
        <v>92</v>
      </c>
      <c r="M44" s="10" t="s">
        <v>93</v>
      </c>
      <c r="N44" s="21">
        <v>0.6</v>
      </c>
      <c r="O44" s="21">
        <v>15</v>
      </c>
      <c r="P44" s="10" t="s">
        <v>94</v>
      </c>
      <c r="Q44" s="87"/>
      <c r="R44" s="10" t="s">
        <v>94</v>
      </c>
      <c r="S44" s="10" t="s">
        <v>94</v>
      </c>
      <c r="T44" s="87"/>
      <c r="U44" s="21">
        <v>2</v>
      </c>
      <c r="V44" s="10">
        <v>0.6</v>
      </c>
      <c r="W44" s="21">
        <v>0.4</v>
      </c>
      <c r="X44" s="10" t="s">
        <v>94</v>
      </c>
      <c r="Y44" s="21">
        <v>3</v>
      </c>
      <c r="Z44" s="21">
        <v>2.2999999999999998</v>
      </c>
      <c r="AA44" s="10">
        <v>3.5</v>
      </c>
      <c r="AB44" s="10" t="s">
        <v>94</v>
      </c>
      <c r="AC44" s="10" t="s">
        <v>94</v>
      </c>
      <c r="AD44" s="10" t="s">
        <v>96</v>
      </c>
      <c r="AE44" s="10" t="s">
        <v>98</v>
      </c>
      <c r="AF44" s="20">
        <f t="shared" si="8"/>
        <v>3.833333333333333</v>
      </c>
      <c r="AG44" s="13">
        <f t="shared" si="1"/>
        <v>3</v>
      </c>
      <c r="AH44" s="7">
        <f t="shared" si="2"/>
        <v>10</v>
      </c>
      <c r="AI44" s="7">
        <f t="shared" si="3"/>
        <v>10</v>
      </c>
      <c r="AJ44" s="7">
        <f t="shared" si="4"/>
        <v>10</v>
      </c>
      <c r="AK44" s="7">
        <f t="shared" si="5"/>
        <v>6</v>
      </c>
      <c r="AL44" s="12">
        <f t="shared" si="9"/>
        <v>39</v>
      </c>
      <c r="AM44" s="14" t="str">
        <f t="shared" si="7"/>
        <v>Barrier</v>
      </c>
      <c r="AN44" s="10" t="s">
        <v>167</v>
      </c>
      <c r="AO44" s="21">
        <v>10</v>
      </c>
      <c r="AP44" s="10" t="s">
        <v>231</v>
      </c>
    </row>
    <row r="45" spans="1:42" ht="45" x14ac:dyDescent="0.25">
      <c r="A45" s="58">
        <v>45168</v>
      </c>
      <c r="C45" s="10">
        <v>24743865</v>
      </c>
      <c r="D45" s="10" t="s">
        <v>109</v>
      </c>
      <c r="E45" s="11">
        <v>10</v>
      </c>
      <c r="F45" s="38">
        <v>513403.16917020403</v>
      </c>
      <c r="G45" s="38">
        <v>6047516.85530084</v>
      </c>
      <c r="H45" s="11" t="s">
        <v>117</v>
      </c>
      <c r="I45" s="11" t="s">
        <v>128</v>
      </c>
      <c r="K45" s="11" t="s">
        <v>191</v>
      </c>
      <c r="L45" s="10" t="s">
        <v>107</v>
      </c>
      <c r="M45" s="10" t="s">
        <v>108</v>
      </c>
      <c r="N45" s="21">
        <v>14</v>
      </c>
      <c r="O45" s="21">
        <v>3</v>
      </c>
      <c r="P45" s="83"/>
      <c r="Q45" s="87"/>
      <c r="R45" s="83"/>
      <c r="S45" s="83"/>
      <c r="T45" s="87"/>
      <c r="U45" s="87"/>
      <c r="V45" s="83"/>
      <c r="W45" s="87"/>
      <c r="X45" s="83"/>
      <c r="Y45" s="87"/>
      <c r="Z45" s="87"/>
      <c r="AA45" s="83"/>
      <c r="AB45" s="10" t="s">
        <v>94</v>
      </c>
      <c r="AC45" s="10" t="s">
        <v>94</v>
      </c>
      <c r="AD45" s="83"/>
      <c r="AE45" s="83"/>
      <c r="AF45" s="20">
        <f t="shared" si="8"/>
        <v>0</v>
      </c>
      <c r="AG45" s="13">
        <f t="shared" si="1"/>
        <v>0</v>
      </c>
      <c r="AH45" s="7">
        <f t="shared" si="2"/>
        <v>0</v>
      </c>
      <c r="AI45" s="7">
        <f t="shared" si="3"/>
        <v>0</v>
      </c>
      <c r="AJ45" s="7">
        <f t="shared" si="4"/>
        <v>0</v>
      </c>
      <c r="AK45" s="7">
        <f t="shared" si="5"/>
        <v>0</v>
      </c>
      <c r="AL45" s="12">
        <f t="shared" si="9"/>
        <v>0</v>
      </c>
      <c r="AM45" s="14" t="str">
        <f t="shared" si="7"/>
        <v>Passable</v>
      </c>
      <c r="AN45" s="83"/>
      <c r="AO45" s="87"/>
      <c r="AP45" s="10" t="s">
        <v>232</v>
      </c>
    </row>
    <row r="46" spans="1:42" ht="30" x14ac:dyDescent="0.25">
      <c r="A46" s="58">
        <v>45168</v>
      </c>
      <c r="C46" s="10">
        <v>3703203</v>
      </c>
      <c r="D46" s="10" t="s">
        <v>109</v>
      </c>
      <c r="E46" s="11">
        <v>10</v>
      </c>
      <c r="F46" s="38">
        <v>514487.03437419399</v>
      </c>
      <c r="G46" s="38">
        <v>6042440.6276586996</v>
      </c>
      <c r="H46" s="11" t="s">
        <v>127</v>
      </c>
      <c r="I46" s="11" t="s">
        <v>128</v>
      </c>
      <c r="K46" s="11" t="s">
        <v>175</v>
      </c>
      <c r="L46" s="10" t="s">
        <v>92</v>
      </c>
      <c r="M46" s="10" t="s">
        <v>93</v>
      </c>
      <c r="N46" s="21">
        <v>0.5</v>
      </c>
      <c r="O46" s="21">
        <v>15</v>
      </c>
      <c r="P46" s="10" t="s">
        <v>94</v>
      </c>
      <c r="Q46" s="87"/>
      <c r="R46" s="10" t="s">
        <v>94</v>
      </c>
      <c r="S46" s="10" t="s">
        <v>94</v>
      </c>
      <c r="T46" s="87"/>
      <c r="U46" s="21">
        <v>3.5</v>
      </c>
      <c r="V46" s="10">
        <v>0</v>
      </c>
      <c r="W46" s="21">
        <v>0</v>
      </c>
      <c r="X46" s="10" t="s">
        <v>94</v>
      </c>
      <c r="Y46" s="21">
        <v>3</v>
      </c>
      <c r="Z46" s="21">
        <v>1.2</v>
      </c>
      <c r="AA46" s="10">
        <v>1</v>
      </c>
      <c r="AB46" s="10" t="s">
        <v>94</v>
      </c>
      <c r="AC46" s="10" t="s">
        <v>94</v>
      </c>
      <c r="AD46" s="10" t="s">
        <v>96</v>
      </c>
      <c r="AE46" s="10" t="s">
        <v>97</v>
      </c>
      <c r="AF46" s="20">
        <f t="shared" si="8"/>
        <v>2.4</v>
      </c>
      <c r="AG46" s="13">
        <f t="shared" si="1"/>
        <v>3</v>
      </c>
      <c r="AH46" s="7">
        <f t="shared" si="2"/>
        <v>10</v>
      </c>
      <c r="AI46" s="7">
        <f t="shared" si="3"/>
        <v>0</v>
      </c>
      <c r="AJ46" s="7">
        <f t="shared" si="4"/>
        <v>10</v>
      </c>
      <c r="AK46" s="7">
        <f t="shared" si="5"/>
        <v>6</v>
      </c>
      <c r="AL46" s="12">
        <f t="shared" si="9"/>
        <v>29</v>
      </c>
      <c r="AM46" s="14" t="str">
        <f t="shared" si="7"/>
        <v>Barrier</v>
      </c>
      <c r="AN46" s="10" t="s">
        <v>168</v>
      </c>
      <c r="AO46" s="21">
        <v>3</v>
      </c>
      <c r="AP46" s="10" t="s">
        <v>233</v>
      </c>
    </row>
    <row r="47" spans="1:42" ht="30" x14ac:dyDescent="0.25">
      <c r="A47" s="58">
        <v>45168</v>
      </c>
      <c r="C47" s="10">
        <v>2200301</v>
      </c>
      <c r="D47" s="10" t="s">
        <v>129</v>
      </c>
      <c r="E47" s="11">
        <v>10</v>
      </c>
      <c r="F47" s="38">
        <v>490978.84930370102</v>
      </c>
      <c r="G47" s="38">
        <v>6075927.1324999798</v>
      </c>
      <c r="H47" s="11" t="s">
        <v>130</v>
      </c>
      <c r="I47" s="11" t="s">
        <v>132</v>
      </c>
      <c r="J47" s="22">
        <v>82.2</v>
      </c>
      <c r="K47" s="11" t="s">
        <v>179</v>
      </c>
      <c r="L47" s="10" t="s">
        <v>92</v>
      </c>
      <c r="M47" s="10" t="s">
        <v>93</v>
      </c>
      <c r="N47" s="21">
        <v>1</v>
      </c>
      <c r="O47" s="21">
        <v>26</v>
      </c>
      <c r="P47" s="10" t="s">
        <v>94</v>
      </c>
      <c r="Q47" s="87"/>
      <c r="R47" s="10" t="s">
        <v>94</v>
      </c>
      <c r="S47" s="10" t="s">
        <v>94</v>
      </c>
      <c r="T47" s="87"/>
      <c r="U47" s="21">
        <v>2.5</v>
      </c>
      <c r="V47" s="10">
        <v>0.55000000000000004</v>
      </c>
      <c r="W47" s="21">
        <v>0.6</v>
      </c>
      <c r="X47" s="10" t="s">
        <v>94</v>
      </c>
      <c r="Y47" s="21">
        <v>4</v>
      </c>
      <c r="Z47" s="21">
        <v>3</v>
      </c>
      <c r="AA47" s="10">
        <v>1.5</v>
      </c>
      <c r="AB47" s="10" t="s">
        <v>94</v>
      </c>
      <c r="AC47" s="10" t="s">
        <v>94</v>
      </c>
      <c r="AD47" s="10" t="s">
        <v>96</v>
      </c>
      <c r="AE47" s="10" t="s">
        <v>98</v>
      </c>
      <c r="AF47" s="20">
        <f t="shared" si="8"/>
        <v>3</v>
      </c>
      <c r="AG47" s="13">
        <f t="shared" si="1"/>
        <v>3</v>
      </c>
      <c r="AH47" s="7">
        <f t="shared" si="2"/>
        <v>10</v>
      </c>
      <c r="AI47" s="7">
        <f t="shared" si="3"/>
        <v>10</v>
      </c>
      <c r="AJ47" s="7">
        <f t="shared" si="4"/>
        <v>10</v>
      </c>
      <c r="AK47" s="7">
        <f t="shared" si="5"/>
        <v>6</v>
      </c>
      <c r="AL47" s="12">
        <f t="shared" si="9"/>
        <v>39</v>
      </c>
      <c r="AM47" s="14" t="str">
        <f t="shared" si="7"/>
        <v>Barrier</v>
      </c>
      <c r="AN47" s="10" t="s">
        <v>167</v>
      </c>
      <c r="AO47" s="21">
        <v>10</v>
      </c>
      <c r="AP47" s="10" t="s">
        <v>234</v>
      </c>
    </row>
    <row r="48" spans="1:42" ht="30" x14ac:dyDescent="0.25">
      <c r="A48" s="58">
        <v>45168</v>
      </c>
      <c r="C48" s="10">
        <v>2201739</v>
      </c>
      <c r="D48" s="10" t="s">
        <v>131</v>
      </c>
      <c r="E48" s="11">
        <v>10</v>
      </c>
      <c r="F48" s="38">
        <v>491687.31517951703</v>
      </c>
      <c r="G48" s="38">
        <v>6075170.8158707405</v>
      </c>
      <c r="H48" s="11" t="s">
        <v>157</v>
      </c>
      <c r="I48" s="11" t="s">
        <v>132</v>
      </c>
      <c r="K48" s="11" t="s">
        <v>179</v>
      </c>
      <c r="L48" s="10" t="s">
        <v>103</v>
      </c>
      <c r="M48" s="10" t="s">
        <v>262</v>
      </c>
      <c r="N48" s="87"/>
      <c r="O48" s="87"/>
      <c r="P48" s="83"/>
      <c r="Q48" s="87"/>
      <c r="R48" s="83"/>
      <c r="S48" s="83"/>
      <c r="T48" s="87"/>
      <c r="U48" s="87"/>
      <c r="V48" s="83"/>
      <c r="W48" s="87"/>
      <c r="X48" s="83"/>
      <c r="Y48" s="87"/>
      <c r="Z48" s="87"/>
      <c r="AA48" s="83"/>
      <c r="AB48" s="10" t="s">
        <v>94</v>
      </c>
      <c r="AC48" s="10" t="s">
        <v>94</v>
      </c>
      <c r="AD48" s="83"/>
      <c r="AE48" s="83"/>
      <c r="AF48" s="20">
        <f t="shared" si="8"/>
        <v>0</v>
      </c>
      <c r="AG48" s="13">
        <f t="shared" si="1"/>
        <v>0</v>
      </c>
      <c r="AH48" s="7">
        <f t="shared" si="2"/>
        <v>0</v>
      </c>
      <c r="AI48" s="7">
        <f t="shared" si="3"/>
        <v>0</v>
      </c>
      <c r="AJ48" s="7">
        <f t="shared" si="4"/>
        <v>0</v>
      </c>
      <c r="AK48" s="7">
        <f t="shared" si="5"/>
        <v>0</v>
      </c>
      <c r="AL48" s="12">
        <f t="shared" si="9"/>
        <v>0</v>
      </c>
      <c r="AM48" s="14" t="str">
        <f t="shared" si="7"/>
        <v>Unknown</v>
      </c>
      <c r="AN48" s="88"/>
      <c r="AO48" s="89"/>
      <c r="AP48" s="10" t="s">
        <v>235</v>
      </c>
    </row>
    <row r="49" spans="1:42" ht="30" x14ac:dyDescent="0.25">
      <c r="A49" s="58">
        <v>45168</v>
      </c>
      <c r="C49" s="10">
        <v>2200987</v>
      </c>
      <c r="D49" s="10" t="s">
        <v>119</v>
      </c>
      <c r="E49" s="11">
        <v>10</v>
      </c>
      <c r="F49" s="38">
        <v>491638.92640708102</v>
      </c>
      <c r="G49" s="38">
        <v>6072900.7694226298</v>
      </c>
      <c r="H49" s="11" t="s">
        <v>157</v>
      </c>
      <c r="I49" s="11" t="s">
        <v>133</v>
      </c>
      <c r="K49" s="11" t="s">
        <v>179</v>
      </c>
      <c r="L49" s="10" t="s">
        <v>92</v>
      </c>
      <c r="M49" s="10" t="s">
        <v>93</v>
      </c>
      <c r="N49" s="21">
        <v>1.2</v>
      </c>
      <c r="O49" s="21">
        <v>22</v>
      </c>
      <c r="P49" s="10" t="s">
        <v>94</v>
      </c>
      <c r="Q49" s="87"/>
      <c r="R49" s="10" t="s">
        <v>94</v>
      </c>
      <c r="S49" s="10" t="s">
        <v>94</v>
      </c>
      <c r="T49" s="87"/>
      <c r="U49" s="21">
        <v>2</v>
      </c>
      <c r="V49" s="10">
        <v>0</v>
      </c>
      <c r="W49" s="21">
        <v>0</v>
      </c>
      <c r="X49" s="10" t="s">
        <v>95</v>
      </c>
      <c r="Y49" s="21">
        <v>4</v>
      </c>
      <c r="Z49" s="21">
        <v>1</v>
      </c>
      <c r="AA49" s="10">
        <v>5.5</v>
      </c>
      <c r="AB49" s="10" t="s">
        <v>94</v>
      </c>
      <c r="AC49" s="10" t="s">
        <v>94</v>
      </c>
      <c r="AD49" s="10" t="s">
        <v>96</v>
      </c>
      <c r="AE49" s="10" t="s">
        <v>97</v>
      </c>
      <c r="AF49" s="20">
        <f t="shared" si="8"/>
        <v>0.83333333333333337</v>
      </c>
      <c r="AG49" s="13">
        <f t="shared" si="1"/>
        <v>3</v>
      </c>
      <c r="AH49" s="7">
        <f t="shared" si="2"/>
        <v>10</v>
      </c>
      <c r="AI49" s="7">
        <f t="shared" si="3"/>
        <v>0</v>
      </c>
      <c r="AJ49" s="7">
        <f t="shared" si="4"/>
        <v>10</v>
      </c>
      <c r="AK49" s="7">
        <f t="shared" si="5"/>
        <v>0</v>
      </c>
      <c r="AL49" s="12">
        <f t="shared" si="9"/>
        <v>23</v>
      </c>
      <c r="AM49" s="14" t="str">
        <f t="shared" si="7"/>
        <v>Barrier</v>
      </c>
      <c r="AN49" s="10" t="s">
        <v>168</v>
      </c>
      <c r="AO49" s="21">
        <v>3</v>
      </c>
      <c r="AP49" s="10" t="s">
        <v>236</v>
      </c>
    </row>
    <row r="50" spans="1:42" ht="45" x14ac:dyDescent="0.25">
      <c r="A50" s="58">
        <v>45168</v>
      </c>
      <c r="C50" s="10">
        <v>3702614</v>
      </c>
      <c r="D50" s="10" t="s">
        <v>134</v>
      </c>
      <c r="E50" s="11">
        <v>10</v>
      </c>
      <c r="F50" s="38">
        <v>496782.70263284497</v>
      </c>
      <c r="G50" s="38">
        <v>6054762.9893264202</v>
      </c>
      <c r="H50" s="11" t="s">
        <v>126</v>
      </c>
      <c r="I50" s="11" t="s">
        <v>158</v>
      </c>
      <c r="K50" s="11" t="s">
        <v>191</v>
      </c>
      <c r="L50" s="10" t="s">
        <v>103</v>
      </c>
      <c r="M50" s="10" t="s">
        <v>262</v>
      </c>
      <c r="N50" s="87"/>
      <c r="O50" s="87"/>
      <c r="P50" s="83"/>
      <c r="Q50" s="87"/>
      <c r="R50" s="83"/>
      <c r="S50" s="83"/>
      <c r="T50" s="87"/>
      <c r="U50" s="87"/>
      <c r="V50" s="83"/>
      <c r="W50" s="87"/>
      <c r="X50" s="83"/>
      <c r="Y50" s="87"/>
      <c r="Z50" s="87"/>
      <c r="AA50" s="83"/>
      <c r="AB50" s="10" t="s">
        <v>94</v>
      </c>
      <c r="AC50" s="10" t="s">
        <v>94</v>
      </c>
      <c r="AD50" s="83"/>
      <c r="AE50" s="83"/>
      <c r="AF50" s="20">
        <f t="shared" si="8"/>
        <v>0</v>
      </c>
      <c r="AG50" s="13">
        <f t="shared" si="1"/>
        <v>0</v>
      </c>
      <c r="AH50" s="7">
        <f t="shared" si="2"/>
        <v>0</v>
      </c>
      <c r="AI50" s="7">
        <f t="shared" si="3"/>
        <v>0</v>
      </c>
      <c r="AJ50" s="7">
        <f t="shared" si="4"/>
        <v>0</v>
      </c>
      <c r="AK50" s="7">
        <f t="shared" si="5"/>
        <v>0</v>
      </c>
      <c r="AL50" s="12">
        <f t="shared" si="9"/>
        <v>0</v>
      </c>
      <c r="AM50" s="14" t="str">
        <f t="shared" si="7"/>
        <v>Unknown</v>
      </c>
      <c r="AN50" s="88"/>
      <c r="AO50" s="89"/>
      <c r="AP50" s="10" t="s">
        <v>237</v>
      </c>
    </row>
    <row r="51" spans="1:42" ht="45" x14ac:dyDescent="0.25">
      <c r="A51" s="58">
        <v>45168</v>
      </c>
      <c r="C51" s="10">
        <v>3702455</v>
      </c>
      <c r="D51" s="10" t="s">
        <v>119</v>
      </c>
      <c r="E51" s="11">
        <v>10</v>
      </c>
      <c r="F51" s="38">
        <v>495632.37416325702</v>
      </c>
      <c r="G51" s="38">
        <v>6051511.9246880803</v>
      </c>
      <c r="H51" s="11" t="s">
        <v>126</v>
      </c>
      <c r="I51" s="11" t="s">
        <v>159</v>
      </c>
      <c r="K51" s="11" t="s">
        <v>191</v>
      </c>
      <c r="L51" s="10" t="s">
        <v>92</v>
      </c>
      <c r="M51" s="10" t="s">
        <v>93</v>
      </c>
      <c r="N51" s="21">
        <v>1.75</v>
      </c>
      <c r="O51" s="21">
        <v>55</v>
      </c>
      <c r="P51" s="10" t="s">
        <v>94</v>
      </c>
      <c r="Q51" s="87"/>
      <c r="R51" s="10" t="s">
        <v>94</v>
      </c>
      <c r="S51" s="10" t="s">
        <v>94</v>
      </c>
      <c r="T51" s="87"/>
      <c r="U51" s="21">
        <v>5</v>
      </c>
      <c r="V51" s="10">
        <v>0.25</v>
      </c>
      <c r="W51" s="21">
        <v>0.4</v>
      </c>
      <c r="X51" s="10" t="s">
        <v>95</v>
      </c>
      <c r="Y51" s="21">
        <v>0</v>
      </c>
      <c r="Z51" s="21">
        <v>10</v>
      </c>
      <c r="AA51" s="10">
        <v>0</v>
      </c>
      <c r="AB51" s="10" t="s">
        <v>95</v>
      </c>
      <c r="AC51" s="10" t="s">
        <v>94</v>
      </c>
      <c r="AD51" s="10" t="s">
        <v>96</v>
      </c>
      <c r="AE51" s="10" t="s">
        <v>98</v>
      </c>
      <c r="AF51" s="20">
        <f t="shared" si="8"/>
        <v>5.7142857142857144</v>
      </c>
      <c r="AG51" s="13">
        <f t="shared" si="1"/>
        <v>6</v>
      </c>
      <c r="AH51" s="7">
        <f t="shared" si="2"/>
        <v>10</v>
      </c>
      <c r="AI51" s="7">
        <f t="shared" si="3"/>
        <v>5</v>
      </c>
      <c r="AJ51" s="7">
        <f t="shared" si="4"/>
        <v>0</v>
      </c>
      <c r="AK51" s="7">
        <f t="shared" si="5"/>
        <v>6</v>
      </c>
      <c r="AL51" s="12">
        <f t="shared" si="9"/>
        <v>27</v>
      </c>
      <c r="AM51" s="14" t="str">
        <f t="shared" si="7"/>
        <v>Barrier</v>
      </c>
      <c r="AN51" s="10" t="s">
        <v>167</v>
      </c>
      <c r="AO51" s="21">
        <v>16</v>
      </c>
      <c r="AP51" s="10" t="s">
        <v>238</v>
      </c>
    </row>
    <row r="52" spans="1:42" ht="45" x14ac:dyDescent="0.25">
      <c r="A52" s="58">
        <v>45168</v>
      </c>
      <c r="C52" s="10">
        <v>3700783</v>
      </c>
      <c r="D52" s="10" t="s">
        <v>119</v>
      </c>
      <c r="E52" s="11">
        <v>10</v>
      </c>
      <c r="F52" s="38">
        <v>512463.22426940402</v>
      </c>
      <c r="G52" s="38">
        <v>6047486.9260761198</v>
      </c>
      <c r="H52" s="11" t="s">
        <v>117</v>
      </c>
      <c r="I52" s="11" t="s">
        <v>128</v>
      </c>
      <c r="K52" s="11" t="s">
        <v>191</v>
      </c>
      <c r="L52" s="10" t="s">
        <v>107</v>
      </c>
      <c r="M52" s="10" t="s">
        <v>108</v>
      </c>
      <c r="N52" s="21">
        <v>13</v>
      </c>
      <c r="O52" s="21">
        <v>5</v>
      </c>
      <c r="P52" s="83"/>
      <c r="Q52" s="87"/>
      <c r="R52" s="83"/>
      <c r="S52" s="83"/>
      <c r="T52" s="87"/>
      <c r="U52" s="87"/>
      <c r="V52" s="83"/>
      <c r="W52" s="87"/>
      <c r="X52" s="83"/>
      <c r="Y52" s="87"/>
      <c r="Z52" s="87"/>
      <c r="AA52" s="83"/>
      <c r="AB52" s="10" t="s">
        <v>94</v>
      </c>
      <c r="AC52" s="10" t="s">
        <v>94</v>
      </c>
      <c r="AD52" s="83"/>
      <c r="AE52" s="83"/>
      <c r="AF52" s="20">
        <f t="shared" si="8"/>
        <v>0</v>
      </c>
      <c r="AG52" s="13">
        <f t="shared" si="1"/>
        <v>0</v>
      </c>
      <c r="AH52" s="7">
        <f t="shared" si="2"/>
        <v>0</v>
      </c>
      <c r="AI52" s="7">
        <f t="shared" si="3"/>
        <v>0</v>
      </c>
      <c r="AJ52" s="7">
        <f t="shared" si="4"/>
        <v>0</v>
      </c>
      <c r="AK52" s="7">
        <f t="shared" si="5"/>
        <v>0</v>
      </c>
      <c r="AL52" s="12">
        <f t="shared" si="9"/>
        <v>0</v>
      </c>
      <c r="AM52" s="14" t="str">
        <f t="shared" si="7"/>
        <v>Passable</v>
      </c>
      <c r="AN52" s="83"/>
      <c r="AO52" s="87"/>
      <c r="AP52" s="10" t="s">
        <v>239</v>
      </c>
    </row>
    <row r="53" spans="1:42" ht="30" x14ac:dyDescent="0.25">
      <c r="A53" s="58">
        <v>45168</v>
      </c>
      <c r="C53" s="10">
        <v>3703210</v>
      </c>
      <c r="D53" s="10" t="s">
        <v>119</v>
      </c>
      <c r="E53" s="11">
        <v>10</v>
      </c>
      <c r="F53" s="38">
        <v>515195.71416025399</v>
      </c>
      <c r="G53" s="38">
        <v>6040682.0368776601</v>
      </c>
      <c r="H53" s="11" t="s">
        <v>127</v>
      </c>
      <c r="I53" s="11" t="s">
        <v>135</v>
      </c>
      <c r="J53" s="22">
        <v>116</v>
      </c>
      <c r="K53" s="11" t="s">
        <v>175</v>
      </c>
      <c r="L53" s="10" t="s">
        <v>92</v>
      </c>
      <c r="M53" s="10" t="s">
        <v>93</v>
      </c>
      <c r="N53" s="21">
        <v>1</v>
      </c>
      <c r="O53" s="21">
        <v>13</v>
      </c>
      <c r="P53" s="10" t="s">
        <v>94</v>
      </c>
      <c r="Q53" s="87"/>
      <c r="R53" s="10" t="s">
        <v>94</v>
      </c>
      <c r="S53" s="10" t="s">
        <v>94</v>
      </c>
      <c r="T53" s="87"/>
      <c r="U53" s="21">
        <v>1</v>
      </c>
      <c r="V53" s="10">
        <v>0</v>
      </c>
      <c r="W53" s="21">
        <v>0.3</v>
      </c>
      <c r="X53" s="10" t="s">
        <v>94</v>
      </c>
      <c r="Y53" s="21">
        <v>1.5</v>
      </c>
      <c r="Z53" s="21">
        <v>2.4</v>
      </c>
      <c r="AA53" s="10">
        <v>0.5</v>
      </c>
      <c r="AB53" s="10" t="s">
        <v>94</v>
      </c>
      <c r="AC53" s="10" t="s">
        <v>94</v>
      </c>
      <c r="AD53" s="10" t="s">
        <v>96</v>
      </c>
      <c r="AE53" s="10" t="s">
        <v>98</v>
      </c>
      <c r="AF53" s="20">
        <f t="shared" si="8"/>
        <v>2.4</v>
      </c>
      <c r="AG53" s="13">
        <f t="shared" si="1"/>
        <v>0</v>
      </c>
      <c r="AH53" s="7">
        <f t="shared" si="2"/>
        <v>10</v>
      </c>
      <c r="AI53" s="7">
        <f t="shared" si="3"/>
        <v>0</v>
      </c>
      <c r="AJ53" s="7">
        <f t="shared" si="4"/>
        <v>5</v>
      </c>
      <c r="AK53" s="7">
        <f t="shared" si="5"/>
        <v>6</v>
      </c>
      <c r="AL53" s="12">
        <f t="shared" si="9"/>
        <v>21</v>
      </c>
      <c r="AM53" s="14" t="str">
        <f t="shared" si="7"/>
        <v>Barrier</v>
      </c>
      <c r="AN53" s="10" t="s">
        <v>167</v>
      </c>
      <c r="AO53" s="21">
        <v>10</v>
      </c>
      <c r="AP53" s="10" t="s">
        <v>240</v>
      </c>
    </row>
    <row r="54" spans="1:42" ht="30" x14ac:dyDescent="0.25">
      <c r="A54" s="58">
        <v>45169</v>
      </c>
      <c r="C54" s="10">
        <v>3703209</v>
      </c>
      <c r="D54" s="10" t="s">
        <v>160</v>
      </c>
      <c r="E54" s="11">
        <v>10</v>
      </c>
      <c r="F54" s="38">
        <v>518240.88921776402</v>
      </c>
      <c r="G54" s="38">
        <v>6034399.2667581998</v>
      </c>
      <c r="H54" s="11" t="s">
        <v>117</v>
      </c>
      <c r="I54" s="11" t="s">
        <v>128</v>
      </c>
      <c r="K54" s="11" t="s">
        <v>175</v>
      </c>
      <c r="L54" s="10" t="s">
        <v>92</v>
      </c>
      <c r="M54" s="10" t="s">
        <v>93</v>
      </c>
      <c r="N54" s="21">
        <v>3.6</v>
      </c>
      <c r="O54" s="21">
        <v>12.2</v>
      </c>
      <c r="P54" s="10" t="s">
        <v>94</v>
      </c>
      <c r="Q54" s="87"/>
      <c r="R54" s="10" t="s">
        <v>94</v>
      </c>
      <c r="S54" s="10" t="s">
        <v>94</v>
      </c>
      <c r="T54" s="87"/>
      <c r="U54" s="21">
        <v>0.6</v>
      </c>
      <c r="V54" s="10">
        <v>0</v>
      </c>
      <c r="W54" s="21">
        <v>0</v>
      </c>
      <c r="X54" s="10" t="s">
        <v>94</v>
      </c>
      <c r="Y54" s="21">
        <v>2</v>
      </c>
      <c r="Z54" s="21">
        <v>4</v>
      </c>
      <c r="AA54" s="10">
        <v>1.5</v>
      </c>
      <c r="AB54" s="10" t="s">
        <v>94</v>
      </c>
      <c r="AC54" s="10" t="s">
        <v>94</v>
      </c>
      <c r="AD54" s="10" t="s">
        <v>96</v>
      </c>
      <c r="AE54" s="10" t="s">
        <v>97</v>
      </c>
      <c r="AF54" s="20">
        <f t="shared" si="8"/>
        <v>1.1111111111111112</v>
      </c>
      <c r="AG54" s="13">
        <f t="shared" si="1"/>
        <v>0</v>
      </c>
      <c r="AH54" s="7">
        <f t="shared" si="2"/>
        <v>10</v>
      </c>
      <c r="AI54" s="7">
        <f t="shared" si="3"/>
        <v>0</v>
      </c>
      <c r="AJ54" s="7">
        <f t="shared" si="4"/>
        <v>5</v>
      </c>
      <c r="AK54" s="7">
        <f t="shared" si="5"/>
        <v>3</v>
      </c>
      <c r="AL54" s="12">
        <f t="shared" si="9"/>
        <v>18</v>
      </c>
      <c r="AM54" s="14" t="str">
        <f t="shared" si="7"/>
        <v>Potential</v>
      </c>
      <c r="AN54" s="10" t="s">
        <v>167</v>
      </c>
      <c r="AO54" s="21">
        <v>10</v>
      </c>
      <c r="AP54" s="10" t="s">
        <v>241</v>
      </c>
    </row>
    <row r="55" spans="1:42" ht="30" x14ac:dyDescent="0.25">
      <c r="A55" s="58">
        <v>45169</v>
      </c>
      <c r="C55" s="10">
        <v>2200799</v>
      </c>
      <c r="D55" s="10" t="s">
        <v>160</v>
      </c>
      <c r="E55" s="11">
        <v>10</v>
      </c>
      <c r="F55" s="38">
        <v>499080.27030025102</v>
      </c>
      <c r="G55" s="38">
        <v>6094095.3727731202</v>
      </c>
      <c r="H55" s="11" t="s">
        <v>141</v>
      </c>
      <c r="I55" s="11" t="s">
        <v>136</v>
      </c>
      <c r="K55" s="11" t="s">
        <v>170</v>
      </c>
      <c r="L55" s="10" t="s">
        <v>107</v>
      </c>
      <c r="M55" s="10" t="s">
        <v>108</v>
      </c>
      <c r="N55" s="21">
        <v>19.600000000000001</v>
      </c>
      <c r="O55" s="21">
        <v>4</v>
      </c>
      <c r="P55" s="83"/>
      <c r="Q55" s="87"/>
      <c r="R55" s="83"/>
      <c r="S55" s="83"/>
      <c r="T55" s="87"/>
      <c r="U55" s="87"/>
      <c r="V55" s="83"/>
      <c r="W55" s="87"/>
      <c r="X55" s="83"/>
      <c r="Y55" s="87"/>
      <c r="Z55" s="87"/>
      <c r="AA55" s="83"/>
      <c r="AB55" s="10" t="s">
        <v>94</v>
      </c>
      <c r="AC55" s="10" t="s">
        <v>94</v>
      </c>
      <c r="AD55" s="83"/>
      <c r="AE55" s="83"/>
      <c r="AF55" s="20">
        <f t="shared" si="8"/>
        <v>0</v>
      </c>
      <c r="AG55" s="13">
        <f t="shared" si="1"/>
        <v>0</v>
      </c>
      <c r="AH55" s="7">
        <f t="shared" si="2"/>
        <v>0</v>
      </c>
      <c r="AI55" s="7">
        <f t="shared" si="3"/>
        <v>0</v>
      </c>
      <c r="AJ55" s="7">
        <f t="shared" si="4"/>
        <v>0</v>
      </c>
      <c r="AK55" s="7">
        <f t="shared" si="5"/>
        <v>0</v>
      </c>
      <c r="AL55" s="12">
        <f t="shared" si="9"/>
        <v>0</v>
      </c>
      <c r="AM55" s="14" t="str">
        <f t="shared" si="7"/>
        <v>Passable</v>
      </c>
      <c r="AN55" s="83"/>
      <c r="AO55" s="87"/>
      <c r="AP55" s="10" t="s">
        <v>242</v>
      </c>
    </row>
    <row r="56" spans="1:42" ht="45" x14ac:dyDescent="0.25">
      <c r="A56" s="58">
        <v>45169</v>
      </c>
      <c r="C56" s="10">
        <v>3702919</v>
      </c>
      <c r="D56" s="10" t="s">
        <v>137</v>
      </c>
      <c r="E56" s="11">
        <v>10</v>
      </c>
      <c r="F56" s="38">
        <v>509951.74196599203</v>
      </c>
      <c r="G56" s="38">
        <v>6040984.40871464</v>
      </c>
      <c r="H56" s="11" t="s">
        <v>117</v>
      </c>
      <c r="I56" s="11" t="s">
        <v>138</v>
      </c>
      <c r="K56" s="11" t="s">
        <v>191</v>
      </c>
      <c r="L56" s="10" t="s">
        <v>92</v>
      </c>
      <c r="M56" s="10" t="s">
        <v>93</v>
      </c>
      <c r="N56" s="21">
        <v>1.75</v>
      </c>
      <c r="O56" s="21">
        <v>30</v>
      </c>
      <c r="P56" s="10" t="s">
        <v>94</v>
      </c>
      <c r="Q56" s="87"/>
      <c r="R56" s="10" t="s">
        <v>94</v>
      </c>
      <c r="S56" s="10" t="s">
        <v>94</v>
      </c>
      <c r="T56" s="87"/>
      <c r="U56" s="21">
        <v>4</v>
      </c>
      <c r="V56" s="10">
        <v>1.1000000000000001</v>
      </c>
      <c r="W56" s="21">
        <v>0.65</v>
      </c>
      <c r="X56" s="10" t="s">
        <v>95</v>
      </c>
      <c r="Y56" s="21">
        <v>3</v>
      </c>
      <c r="Z56" s="21">
        <v>4.3</v>
      </c>
      <c r="AA56" s="10">
        <v>2.5</v>
      </c>
      <c r="AB56" s="10" t="s">
        <v>94</v>
      </c>
      <c r="AC56" s="10" t="s">
        <v>94</v>
      </c>
      <c r="AD56" s="10" t="s">
        <v>96</v>
      </c>
      <c r="AE56" s="10" t="s">
        <v>98</v>
      </c>
      <c r="AF56" s="20">
        <f t="shared" si="8"/>
        <v>2.4571428571428569</v>
      </c>
      <c r="AG56" s="13">
        <f t="shared" si="1"/>
        <v>6</v>
      </c>
      <c r="AH56" s="7">
        <f t="shared" si="2"/>
        <v>10</v>
      </c>
      <c r="AI56" s="7">
        <f t="shared" si="3"/>
        <v>10</v>
      </c>
      <c r="AJ56" s="7">
        <f t="shared" si="4"/>
        <v>10</v>
      </c>
      <c r="AK56" s="7">
        <f t="shared" si="5"/>
        <v>6</v>
      </c>
      <c r="AL56" s="12">
        <f t="shared" si="9"/>
        <v>42</v>
      </c>
      <c r="AM56" s="14" t="str">
        <f t="shared" si="7"/>
        <v>Barrier</v>
      </c>
      <c r="AN56" s="10" t="s">
        <v>167</v>
      </c>
      <c r="AO56" s="21">
        <v>13</v>
      </c>
      <c r="AP56" s="10" t="s">
        <v>243</v>
      </c>
    </row>
    <row r="57" spans="1:42" ht="45" x14ac:dyDescent="0.25">
      <c r="A57" s="58">
        <v>45169</v>
      </c>
      <c r="C57" s="10">
        <v>3702923</v>
      </c>
      <c r="D57" s="10" t="s">
        <v>139</v>
      </c>
      <c r="E57" s="11">
        <v>10</v>
      </c>
      <c r="F57" s="38">
        <v>510784.97479999397</v>
      </c>
      <c r="G57" s="38">
        <v>6040577.7526618596</v>
      </c>
      <c r="H57" s="11" t="s">
        <v>117</v>
      </c>
      <c r="I57" s="11" t="s">
        <v>138</v>
      </c>
      <c r="J57" s="22">
        <v>22.5</v>
      </c>
      <c r="K57" s="11" t="s">
        <v>191</v>
      </c>
      <c r="L57" s="10" t="s">
        <v>92</v>
      </c>
      <c r="M57" s="10" t="s">
        <v>93</v>
      </c>
      <c r="N57" s="21">
        <v>1.75</v>
      </c>
      <c r="O57" s="21">
        <v>43</v>
      </c>
      <c r="P57" s="10" t="s">
        <v>94</v>
      </c>
      <c r="Q57" s="87"/>
      <c r="R57" s="10" t="s">
        <v>94</v>
      </c>
      <c r="S57" s="10" t="s">
        <v>94</v>
      </c>
      <c r="T57" s="87"/>
      <c r="U57" s="21">
        <v>9</v>
      </c>
      <c r="V57" s="10">
        <v>0.4</v>
      </c>
      <c r="W57" s="21">
        <v>0.63</v>
      </c>
      <c r="X57" s="10" t="s">
        <v>94</v>
      </c>
      <c r="Y57" s="21">
        <v>3</v>
      </c>
      <c r="Z57" s="21">
        <v>2.7</v>
      </c>
      <c r="AA57" s="10">
        <v>2</v>
      </c>
      <c r="AB57" s="10" t="s">
        <v>94</v>
      </c>
      <c r="AC57" s="10" t="s">
        <v>94</v>
      </c>
      <c r="AD57" s="10" t="s">
        <v>96</v>
      </c>
      <c r="AE57" s="10" t="s">
        <v>98</v>
      </c>
      <c r="AF57" s="20">
        <f t="shared" si="8"/>
        <v>1.5428571428571429</v>
      </c>
      <c r="AG57" s="13">
        <f t="shared" si="1"/>
        <v>6</v>
      </c>
      <c r="AH57" s="7">
        <f t="shared" si="2"/>
        <v>10</v>
      </c>
      <c r="AI57" s="7">
        <f t="shared" si="3"/>
        <v>10</v>
      </c>
      <c r="AJ57" s="7">
        <f t="shared" si="4"/>
        <v>10</v>
      </c>
      <c r="AK57" s="7">
        <f t="shared" si="5"/>
        <v>6</v>
      </c>
      <c r="AL57" s="12">
        <f t="shared" si="9"/>
        <v>42</v>
      </c>
      <c r="AM57" s="14" t="str">
        <f t="shared" si="7"/>
        <v>Barrier</v>
      </c>
      <c r="AN57" s="10" t="s">
        <v>168</v>
      </c>
      <c r="AO57" s="21">
        <v>4.5</v>
      </c>
      <c r="AP57" s="10" t="s">
        <v>244</v>
      </c>
    </row>
    <row r="58" spans="1:42" ht="45" x14ac:dyDescent="0.25">
      <c r="A58" s="58">
        <v>45169</v>
      </c>
      <c r="C58" s="10">
        <v>3702924</v>
      </c>
      <c r="D58" s="10" t="s">
        <v>137</v>
      </c>
      <c r="E58" s="11">
        <v>10</v>
      </c>
      <c r="F58" s="38">
        <v>511000.45261665602</v>
      </c>
      <c r="G58" s="38">
        <v>6040479.4553780397</v>
      </c>
      <c r="H58" s="11" t="s">
        <v>140</v>
      </c>
      <c r="I58" s="11" t="s">
        <v>138</v>
      </c>
      <c r="K58" s="11" t="s">
        <v>191</v>
      </c>
      <c r="L58" s="10" t="s">
        <v>92</v>
      </c>
      <c r="M58" s="10" t="s">
        <v>93</v>
      </c>
      <c r="N58" s="21">
        <v>2.1</v>
      </c>
      <c r="O58" s="21">
        <v>47</v>
      </c>
      <c r="P58" s="10" t="s">
        <v>94</v>
      </c>
      <c r="Q58" s="87"/>
      <c r="R58" s="10" t="s">
        <v>94</v>
      </c>
      <c r="S58" s="10" t="s">
        <v>94</v>
      </c>
      <c r="T58" s="87"/>
      <c r="U58" s="21">
        <v>9</v>
      </c>
      <c r="V58" s="10">
        <v>0.2</v>
      </c>
      <c r="W58" s="21">
        <v>0.3</v>
      </c>
      <c r="X58" s="10" t="s">
        <v>94</v>
      </c>
      <c r="Y58" s="21">
        <v>3</v>
      </c>
      <c r="Z58" s="21">
        <v>3.4</v>
      </c>
      <c r="AA58" s="10">
        <v>2</v>
      </c>
      <c r="AB58" s="10" t="s">
        <v>94</v>
      </c>
      <c r="AC58" s="10" t="s">
        <v>94</v>
      </c>
      <c r="AD58" s="10" t="s">
        <v>96</v>
      </c>
      <c r="AE58" s="10" t="s">
        <v>98</v>
      </c>
      <c r="AF58" s="20">
        <f t="shared" si="8"/>
        <v>1.6190476190476188</v>
      </c>
      <c r="AG58" s="13">
        <f t="shared" si="1"/>
        <v>6</v>
      </c>
      <c r="AH58" s="7">
        <f t="shared" si="2"/>
        <v>10</v>
      </c>
      <c r="AI58" s="7">
        <f t="shared" si="3"/>
        <v>5</v>
      </c>
      <c r="AJ58" s="7">
        <f t="shared" si="4"/>
        <v>10</v>
      </c>
      <c r="AK58" s="7">
        <f t="shared" si="5"/>
        <v>6</v>
      </c>
      <c r="AL58" s="12">
        <f t="shared" si="9"/>
        <v>37</v>
      </c>
      <c r="AM58" s="14" t="str">
        <f t="shared" si="7"/>
        <v>Barrier</v>
      </c>
      <c r="AN58" s="10" t="s">
        <v>168</v>
      </c>
      <c r="AO58" s="21">
        <v>4.5</v>
      </c>
      <c r="AP58" s="10" t="s">
        <v>245</v>
      </c>
    </row>
    <row r="59" spans="1:42" ht="30" x14ac:dyDescent="0.25">
      <c r="A59" s="58">
        <v>45169</v>
      </c>
      <c r="C59" s="10">
        <v>2023083101</v>
      </c>
      <c r="D59" s="10" t="s">
        <v>137</v>
      </c>
      <c r="E59" s="11">
        <v>10</v>
      </c>
      <c r="F59" s="38">
        <v>497758.40904267703</v>
      </c>
      <c r="G59" s="38">
        <v>6093673.6291485196</v>
      </c>
      <c r="H59" s="11" t="s">
        <v>141</v>
      </c>
      <c r="I59" s="11" t="s">
        <v>165</v>
      </c>
      <c r="K59" s="11" t="s">
        <v>171</v>
      </c>
      <c r="L59" s="10" t="s">
        <v>92</v>
      </c>
      <c r="M59" s="10" t="s">
        <v>93</v>
      </c>
      <c r="N59" s="21">
        <v>1.2</v>
      </c>
      <c r="O59" s="21">
        <v>7.5</v>
      </c>
      <c r="P59" s="10" t="s">
        <v>94</v>
      </c>
      <c r="Q59" s="87"/>
      <c r="R59" s="10" t="s">
        <v>94</v>
      </c>
      <c r="S59" s="10" t="s">
        <v>94</v>
      </c>
      <c r="T59" s="87"/>
      <c r="U59" s="21">
        <v>0.5</v>
      </c>
      <c r="V59" s="10">
        <v>0</v>
      </c>
      <c r="W59" s="21">
        <v>0.3</v>
      </c>
      <c r="X59" s="10" t="s">
        <v>95</v>
      </c>
      <c r="Y59" s="21">
        <v>5</v>
      </c>
      <c r="Z59" s="21">
        <v>2.2999999999999998</v>
      </c>
      <c r="AA59" s="10">
        <v>2</v>
      </c>
      <c r="AB59" s="10" t="s">
        <v>95</v>
      </c>
      <c r="AC59" s="10" t="s">
        <v>94</v>
      </c>
      <c r="AD59" s="10" t="s">
        <v>96</v>
      </c>
      <c r="AE59" s="10" t="s">
        <v>98</v>
      </c>
      <c r="AF59" s="20">
        <f t="shared" si="8"/>
        <v>1.9166666666666665</v>
      </c>
      <c r="AG59" s="13">
        <f t="shared" si="1"/>
        <v>0</v>
      </c>
      <c r="AH59" s="7">
        <f t="shared" si="2"/>
        <v>10</v>
      </c>
      <c r="AI59" s="7">
        <f t="shared" si="3"/>
        <v>0</v>
      </c>
      <c r="AJ59" s="7">
        <f t="shared" si="4"/>
        <v>10</v>
      </c>
      <c r="AK59" s="7">
        <f t="shared" si="5"/>
        <v>6</v>
      </c>
      <c r="AL59" s="12">
        <f t="shared" si="9"/>
        <v>26</v>
      </c>
      <c r="AM59" s="14" t="str">
        <f t="shared" si="7"/>
        <v>Barrier</v>
      </c>
      <c r="AN59" s="10" t="s">
        <v>167</v>
      </c>
      <c r="AO59" s="21">
        <v>10</v>
      </c>
      <c r="AP59" s="10" t="s">
        <v>246</v>
      </c>
    </row>
    <row r="60" spans="1:42" ht="60" x14ac:dyDescent="0.25">
      <c r="A60" s="58">
        <v>45170</v>
      </c>
      <c r="C60" s="10">
        <v>3701326</v>
      </c>
      <c r="D60" s="10" t="s">
        <v>109</v>
      </c>
      <c r="E60" s="11">
        <v>10</v>
      </c>
      <c r="F60" s="38">
        <v>512973.33058969898</v>
      </c>
      <c r="G60" s="38">
        <v>6072306.6066989396</v>
      </c>
      <c r="H60" s="11" t="s">
        <v>142</v>
      </c>
      <c r="I60" s="11" t="s">
        <v>143</v>
      </c>
      <c r="K60" s="11" t="s">
        <v>180</v>
      </c>
      <c r="L60" s="10" t="s">
        <v>107</v>
      </c>
      <c r="M60" s="10" t="s">
        <v>108</v>
      </c>
      <c r="N60" s="21">
        <v>7</v>
      </c>
      <c r="O60" s="21">
        <v>4</v>
      </c>
      <c r="P60" s="83"/>
      <c r="Q60" s="87"/>
      <c r="R60" s="83"/>
      <c r="S60" s="83"/>
      <c r="T60" s="87"/>
      <c r="U60" s="87"/>
      <c r="V60" s="83"/>
      <c r="W60" s="87"/>
      <c r="X60" s="83"/>
      <c r="Y60" s="87"/>
      <c r="Z60" s="87"/>
      <c r="AA60" s="83"/>
      <c r="AB60" s="10" t="s">
        <v>94</v>
      </c>
      <c r="AC60" s="10" t="s">
        <v>94</v>
      </c>
      <c r="AD60" s="83"/>
      <c r="AE60" s="83"/>
      <c r="AF60" s="20">
        <f t="shared" si="8"/>
        <v>0</v>
      </c>
      <c r="AG60" s="13">
        <f t="shared" si="1"/>
        <v>0</v>
      </c>
      <c r="AH60" s="7">
        <f t="shared" si="2"/>
        <v>0</v>
      </c>
      <c r="AI60" s="7">
        <f t="shared" si="3"/>
        <v>0</v>
      </c>
      <c r="AJ60" s="7">
        <f t="shared" si="4"/>
        <v>0</v>
      </c>
      <c r="AK60" s="7">
        <f t="shared" si="5"/>
        <v>0</v>
      </c>
      <c r="AL60" s="12">
        <f t="shared" si="9"/>
        <v>0</v>
      </c>
      <c r="AM60" s="14" t="str">
        <f t="shared" si="7"/>
        <v>Passable</v>
      </c>
      <c r="AN60" s="83"/>
      <c r="AO60" s="87"/>
      <c r="AP60" s="10" t="s">
        <v>247</v>
      </c>
    </row>
    <row r="61" spans="1:42" ht="60" x14ac:dyDescent="0.25">
      <c r="A61" s="58">
        <v>45170</v>
      </c>
      <c r="C61" s="10">
        <v>3700333</v>
      </c>
      <c r="D61" s="10" t="s">
        <v>109</v>
      </c>
      <c r="E61" s="11">
        <v>10</v>
      </c>
      <c r="F61" s="38">
        <v>512837.13864966098</v>
      </c>
      <c r="G61" s="38">
        <v>6072244.9127350301</v>
      </c>
      <c r="H61" s="11" t="s">
        <v>121</v>
      </c>
      <c r="I61" s="11" t="s">
        <v>143</v>
      </c>
      <c r="K61" s="11" t="s">
        <v>180</v>
      </c>
      <c r="L61" s="10" t="s">
        <v>92</v>
      </c>
      <c r="M61" s="10" t="s">
        <v>93</v>
      </c>
      <c r="N61" s="21">
        <v>0.5</v>
      </c>
      <c r="O61" s="21">
        <v>7</v>
      </c>
      <c r="P61" s="10" t="s">
        <v>94</v>
      </c>
      <c r="Q61" s="87"/>
      <c r="R61" s="10" t="s">
        <v>94</v>
      </c>
      <c r="S61" s="10" t="s">
        <v>94</v>
      </c>
      <c r="T61" s="87"/>
      <c r="U61" s="21">
        <v>1.5</v>
      </c>
      <c r="V61" s="10">
        <v>0</v>
      </c>
      <c r="W61" s="21">
        <v>0</v>
      </c>
      <c r="X61" s="10" t="s">
        <v>94</v>
      </c>
      <c r="Y61" s="21">
        <v>2</v>
      </c>
      <c r="Z61" s="21">
        <v>1.6</v>
      </c>
      <c r="AA61" s="10">
        <v>2.5</v>
      </c>
      <c r="AB61" s="10" t="s">
        <v>94</v>
      </c>
      <c r="AC61" s="10" t="s">
        <v>94</v>
      </c>
      <c r="AD61" s="10" t="s">
        <v>96</v>
      </c>
      <c r="AE61" s="10" t="s">
        <v>97</v>
      </c>
      <c r="AF61" s="20">
        <f t="shared" si="8"/>
        <v>3.2</v>
      </c>
      <c r="AG61" s="13">
        <f t="shared" si="1"/>
        <v>0</v>
      </c>
      <c r="AH61" s="7">
        <f t="shared" si="2"/>
        <v>10</v>
      </c>
      <c r="AI61" s="7">
        <f t="shared" si="3"/>
        <v>0</v>
      </c>
      <c r="AJ61" s="7">
        <f t="shared" si="4"/>
        <v>5</v>
      </c>
      <c r="AK61" s="7">
        <f t="shared" si="5"/>
        <v>6</v>
      </c>
      <c r="AL61" s="12">
        <f t="shared" si="9"/>
        <v>21</v>
      </c>
      <c r="AM61" s="14" t="str">
        <f t="shared" si="7"/>
        <v>Barrier</v>
      </c>
      <c r="AN61" s="10" t="s">
        <v>168</v>
      </c>
      <c r="AO61" s="21">
        <v>3</v>
      </c>
      <c r="AP61" s="10" t="s">
        <v>248</v>
      </c>
    </row>
    <row r="62" spans="1:42" ht="30" x14ac:dyDescent="0.25">
      <c r="A62" s="58">
        <v>45170</v>
      </c>
      <c r="C62" s="10">
        <v>3700192</v>
      </c>
      <c r="D62" s="10" t="s">
        <v>109</v>
      </c>
      <c r="E62" s="11">
        <v>10</v>
      </c>
      <c r="F62" s="38">
        <v>520582.68499606702</v>
      </c>
      <c r="G62" s="38">
        <v>6037949.3416053904</v>
      </c>
      <c r="H62" s="11" t="s">
        <v>117</v>
      </c>
      <c r="I62" s="11" t="s">
        <v>136</v>
      </c>
      <c r="K62" s="11" t="s">
        <v>170</v>
      </c>
      <c r="L62" s="10" t="s">
        <v>92</v>
      </c>
      <c r="M62" s="10" t="s">
        <v>93</v>
      </c>
      <c r="N62" s="21">
        <v>1.2</v>
      </c>
      <c r="O62" s="21">
        <v>15</v>
      </c>
      <c r="P62" s="10" t="s">
        <v>94</v>
      </c>
      <c r="Q62" s="87"/>
      <c r="R62" s="10" t="s">
        <v>94</v>
      </c>
      <c r="S62" s="10" t="s">
        <v>94</v>
      </c>
      <c r="T62" s="87"/>
      <c r="U62" s="21">
        <v>3.5</v>
      </c>
      <c r="V62" s="10">
        <v>0</v>
      </c>
      <c r="W62" s="21">
        <v>0</v>
      </c>
      <c r="X62" s="10" t="s">
        <v>94</v>
      </c>
      <c r="Y62" s="21">
        <v>1</v>
      </c>
      <c r="Z62" s="21">
        <v>1.2</v>
      </c>
      <c r="AA62" s="10">
        <v>1.5</v>
      </c>
      <c r="AB62" s="10" t="s">
        <v>95</v>
      </c>
      <c r="AC62" s="10" t="s">
        <v>94</v>
      </c>
      <c r="AD62" s="10" t="s">
        <v>96</v>
      </c>
      <c r="AE62" s="10" t="s">
        <v>97</v>
      </c>
      <c r="AF62" s="20">
        <f t="shared" si="8"/>
        <v>1</v>
      </c>
      <c r="AG62" s="13">
        <f t="shared" si="1"/>
        <v>3</v>
      </c>
      <c r="AH62" s="7">
        <f t="shared" si="2"/>
        <v>10</v>
      </c>
      <c r="AI62" s="7">
        <f t="shared" si="3"/>
        <v>0</v>
      </c>
      <c r="AJ62" s="7">
        <f t="shared" si="4"/>
        <v>5</v>
      </c>
      <c r="AK62" s="7">
        <f t="shared" si="5"/>
        <v>3</v>
      </c>
      <c r="AL62" s="12">
        <f t="shared" si="9"/>
        <v>21</v>
      </c>
      <c r="AM62" s="14" t="str">
        <f t="shared" si="7"/>
        <v>Barrier</v>
      </c>
      <c r="AN62" s="10" t="s">
        <v>168</v>
      </c>
      <c r="AO62" s="21">
        <v>3</v>
      </c>
      <c r="AP62" s="10" t="s">
        <v>249</v>
      </c>
    </row>
    <row r="63" spans="1:42" ht="30" x14ac:dyDescent="0.25">
      <c r="A63" s="58">
        <v>45170</v>
      </c>
      <c r="C63" s="10">
        <v>3702076</v>
      </c>
      <c r="D63" s="10" t="s">
        <v>144</v>
      </c>
      <c r="E63" s="11">
        <v>10</v>
      </c>
      <c r="F63" s="38">
        <v>521415.18234987999</v>
      </c>
      <c r="G63" s="38">
        <v>6018921.1401842497</v>
      </c>
      <c r="H63" s="11" t="s">
        <v>145</v>
      </c>
      <c r="I63" s="11" t="s">
        <v>114</v>
      </c>
      <c r="K63" s="11" t="s">
        <v>173</v>
      </c>
      <c r="L63" s="10" t="s">
        <v>107</v>
      </c>
      <c r="M63" s="10" t="s">
        <v>108</v>
      </c>
      <c r="N63" s="21">
        <v>13</v>
      </c>
      <c r="O63" s="21">
        <v>4.8</v>
      </c>
      <c r="P63" s="83"/>
      <c r="Q63" s="87"/>
      <c r="R63" s="83"/>
      <c r="S63" s="83"/>
      <c r="T63" s="87"/>
      <c r="U63" s="87"/>
      <c r="V63" s="83"/>
      <c r="W63" s="87"/>
      <c r="X63" s="83"/>
      <c r="Y63" s="87"/>
      <c r="Z63" s="87"/>
      <c r="AA63" s="83"/>
      <c r="AB63" s="10" t="s">
        <v>94</v>
      </c>
      <c r="AC63" s="10" t="s">
        <v>94</v>
      </c>
      <c r="AD63" s="83"/>
      <c r="AE63" s="83"/>
      <c r="AF63" s="20">
        <f t="shared" si="8"/>
        <v>0</v>
      </c>
      <c r="AG63" s="13">
        <f t="shared" si="1"/>
        <v>0</v>
      </c>
      <c r="AH63" s="7">
        <f t="shared" si="2"/>
        <v>0</v>
      </c>
      <c r="AI63" s="7">
        <f t="shared" si="3"/>
        <v>0</v>
      </c>
      <c r="AJ63" s="7">
        <f t="shared" si="4"/>
        <v>0</v>
      </c>
      <c r="AK63" s="7">
        <f t="shared" si="5"/>
        <v>0</v>
      </c>
      <c r="AL63" s="12">
        <f t="shared" si="9"/>
        <v>0</v>
      </c>
      <c r="AM63" s="14" t="str">
        <f t="shared" si="7"/>
        <v>Passable</v>
      </c>
      <c r="AN63" s="83"/>
      <c r="AO63" s="87"/>
      <c r="AP63" s="10" t="s">
        <v>250</v>
      </c>
    </row>
    <row r="64" spans="1:42" x14ac:dyDescent="0.25">
      <c r="A64" s="58">
        <v>45170</v>
      </c>
      <c r="C64" s="10">
        <v>3702074</v>
      </c>
      <c r="D64" s="10" t="s">
        <v>109</v>
      </c>
      <c r="E64" s="11">
        <v>10</v>
      </c>
      <c r="F64" s="38">
        <v>518848.02311069402</v>
      </c>
      <c r="G64" s="38">
        <v>6017917.4325442296</v>
      </c>
      <c r="H64" s="11" t="s">
        <v>146</v>
      </c>
      <c r="I64" s="11" t="s">
        <v>114</v>
      </c>
      <c r="K64" s="11" t="s">
        <v>181</v>
      </c>
      <c r="L64" s="10" t="s">
        <v>92</v>
      </c>
      <c r="M64" s="10" t="s">
        <v>93</v>
      </c>
      <c r="N64" s="21">
        <v>0.6</v>
      </c>
      <c r="O64" s="21">
        <v>13</v>
      </c>
      <c r="P64" s="10" t="s">
        <v>94</v>
      </c>
      <c r="Q64" s="87"/>
      <c r="R64" s="10" t="s">
        <v>94</v>
      </c>
      <c r="S64" s="10" t="s">
        <v>95</v>
      </c>
      <c r="T64" s="21">
        <v>100</v>
      </c>
      <c r="U64" s="21">
        <v>1</v>
      </c>
      <c r="V64" s="10">
        <v>0</v>
      </c>
      <c r="W64" s="21">
        <v>0.7</v>
      </c>
      <c r="X64" s="10" t="s">
        <v>94</v>
      </c>
      <c r="Y64" s="21">
        <v>4</v>
      </c>
      <c r="Z64" s="21">
        <v>1.2</v>
      </c>
      <c r="AA64" s="10">
        <v>1.5</v>
      </c>
      <c r="AB64" s="10" t="s">
        <v>94</v>
      </c>
      <c r="AC64" s="10" t="s">
        <v>95</v>
      </c>
      <c r="AD64" s="10" t="s">
        <v>96</v>
      </c>
      <c r="AE64" s="10" t="s">
        <v>97</v>
      </c>
      <c r="AF64" s="20">
        <f t="shared" si="8"/>
        <v>2</v>
      </c>
      <c r="AG64" s="13">
        <f t="shared" si="1"/>
        <v>0</v>
      </c>
      <c r="AH64" s="7">
        <f t="shared" si="2"/>
        <v>10</v>
      </c>
      <c r="AI64" s="7">
        <f t="shared" si="3"/>
        <v>0</v>
      </c>
      <c r="AJ64" s="7">
        <f t="shared" si="4"/>
        <v>10</v>
      </c>
      <c r="AK64" s="7">
        <f t="shared" si="5"/>
        <v>6</v>
      </c>
      <c r="AL64" s="12">
        <f t="shared" si="9"/>
        <v>26</v>
      </c>
      <c r="AM64" s="14" t="str">
        <f t="shared" si="7"/>
        <v>Barrier</v>
      </c>
      <c r="AN64" s="10" t="s">
        <v>168</v>
      </c>
      <c r="AO64" s="21">
        <v>3</v>
      </c>
      <c r="AP64" s="10" t="s">
        <v>251</v>
      </c>
    </row>
    <row r="65" spans="1:42" x14ac:dyDescent="0.25">
      <c r="A65" s="58">
        <v>45170</v>
      </c>
      <c r="C65" s="10">
        <v>3702077</v>
      </c>
      <c r="D65" s="10" t="s">
        <v>109</v>
      </c>
      <c r="E65" s="11">
        <v>10</v>
      </c>
      <c r="F65" s="38">
        <v>517337.71275192301</v>
      </c>
      <c r="G65" s="38">
        <v>6018000.3555349903</v>
      </c>
      <c r="H65" s="11" t="s">
        <v>147</v>
      </c>
      <c r="I65" s="11" t="s">
        <v>114</v>
      </c>
      <c r="J65" s="22">
        <v>31</v>
      </c>
      <c r="K65" s="11" t="s">
        <v>181</v>
      </c>
      <c r="L65" s="10" t="s">
        <v>92</v>
      </c>
      <c r="M65" s="10" t="s">
        <v>93</v>
      </c>
      <c r="N65" s="21">
        <v>0.7</v>
      </c>
      <c r="O65" s="21">
        <v>12</v>
      </c>
      <c r="P65" s="10" t="s">
        <v>94</v>
      </c>
      <c r="Q65" s="87"/>
      <c r="R65" s="10" t="s">
        <v>94</v>
      </c>
      <c r="S65" s="10" t="s">
        <v>95</v>
      </c>
      <c r="T65" s="21">
        <v>100</v>
      </c>
      <c r="U65" s="21">
        <v>1.5</v>
      </c>
      <c r="V65" s="10">
        <v>0</v>
      </c>
      <c r="W65" s="21">
        <v>0.4</v>
      </c>
      <c r="X65" s="10" t="s">
        <v>94</v>
      </c>
      <c r="Y65" s="21">
        <v>0.5</v>
      </c>
      <c r="Z65" s="21">
        <v>1.9</v>
      </c>
      <c r="AA65" s="10">
        <v>3</v>
      </c>
      <c r="AB65" s="10" t="s">
        <v>95</v>
      </c>
      <c r="AC65" s="10" t="s">
        <v>95</v>
      </c>
      <c r="AD65" s="10" t="s">
        <v>96</v>
      </c>
      <c r="AE65" s="10" t="s">
        <v>98</v>
      </c>
      <c r="AF65" s="20">
        <f t="shared" si="8"/>
        <v>2.7142857142857144</v>
      </c>
      <c r="AG65" s="13">
        <f t="shared" si="1"/>
        <v>0</v>
      </c>
      <c r="AH65" s="7">
        <f t="shared" si="2"/>
        <v>10</v>
      </c>
      <c r="AI65" s="7">
        <f t="shared" si="3"/>
        <v>0</v>
      </c>
      <c r="AJ65" s="7">
        <f t="shared" si="4"/>
        <v>0</v>
      </c>
      <c r="AK65" s="7">
        <f t="shared" si="5"/>
        <v>6</v>
      </c>
      <c r="AL65" s="12">
        <f t="shared" si="9"/>
        <v>16</v>
      </c>
      <c r="AM65" s="14" t="str">
        <f t="shared" si="7"/>
        <v>Potential</v>
      </c>
      <c r="AN65" s="10" t="s">
        <v>168</v>
      </c>
      <c r="AO65" s="21">
        <v>3</v>
      </c>
      <c r="AP65" s="10" t="s">
        <v>252</v>
      </c>
    </row>
    <row r="66" spans="1:42" ht="30" x14ac:dyDescent="0.25">
      <c r="A66" s="58">
        <v>45170</v>
      </c>
      <c r="C66" s="10">
        <v>3702073</v>
      </c>
      <c r="D66" s="10" t="s">
        <v>109</v>
      </c>
      <c r="E66" s="11">
        <v>10</v>
      </c>
      <c r="F66" s="38">
        <v>516959.52171313699</v>
      </c>
      <c r="G66" s="38">
        <v>6018229.2164875697</v>
      </c>
      <c r="H66" s="11" t="s">
        <v>148</v>
      </c>
      <c r="I66" s="11" t="s">
        <v>114</v>
      </c>
      <c r="K66" s="11" t="s">
        <v>181</v>
      </c>
      <c r="L66" s="10" t="s">
        <v>92</v>
      </c>
      <c r="M66" s="10" t="s">
        <v>93</v>
      </c>
      <c r="N66" s="21">
        <v>0.6</v>
      </c>
      <c r="O66" s="21">
        <v>13</v>
      </c>
      <c r="P66" s="10" t="s">
        <v>94</v>
      </c>
      <c r="Q66" s="87"/>
      <c r="R66" s="10" t="s">
        <v>94</v>
      </c>
      <c r="S66" s="10" t="s">
        <v>94</v>
      </c>
      <c r="T66" s="87"/>
      <c r="U66" s="21">
        <v>0.5</v>
      </c>
      <c r="V66" s="10">
        <v>0</v>
      </c>
      <c r="W66" s="21">
        <v>0</v>
      </c>
      <c r="X66" s="10" t="s">
        <v>94</v>
      </c>
      <c r="Y66" s="21">
        <v>2</v>
      </c>
      <c r="Z66" s="21">
        <v>1.7</v>
      </c>
      <c r="AA66" s="10">
        <v>1.5</v>
      </c>
      <c r="AB66" s="10" t="s">
        <v>94</v>
      </c>
      <c r="AC66" s="10" t="s">
        <v>94</v>
      </c>
      <c r="AD66" s="10" t="s">
        <v>96</v>
      </c>
      <c r="AE66" s="10" t="s">
        <v>97</v>
      </c>
      <c r="AF66" s="20">
        <f t="shared" si="8"/>
        <v>2.8333333333333335</v>
      </c>
      <c r="AG66" s="13">
        <f t="shared" si="1"/>
        <v>0</v>
      </c>
      <c r="AH66" s="7">
        <f t="shared" si="2"/>
        <v>10</v>
      </c>
      <c r="AI66" s="7">
        <f t="shared" si="3"/>
        <v>0</v>
      </c>
      <c r="AJ66" s="7">
        <f t="shared" si="4"/>
        <v>5</v>
      </c>
      <c r="AK66" s="7">
        <f t="shared" si="5"/>
        <v>6</v>
      </c>
      <c r="AL66" s="12">
        <f t="shared" si="9"/>
        <v>21</v>
      </c>
      <c r="AM66" s="14" t="str">
        <f t="shared" si="7"/>
        <v>Barrier</v>
      </c>
      <c r="AN66" s="10" t="s">
        <v>168</v>
      </c>
      <c r="AO66" s="21">
        <v>3</v>
      </c>
      <c r="AP66" s="10" t="s">
        <v>253</v>
      </c>
    </row>
    <row r="67" spans="1:42" x14ac:dyDescent="0.25">
      <c r="A67" s="58">
        <v>45170</v>
      </c>
      <c r="C67" s="10">
        <v>3700931</v>
      </c>
      <c r="D67" s="10" t="s">
        <v>109</v>
      </c>
      <c r="E67" s="11">
        <v>10</v>
      </c>
      <c r="F67" s="38">
        <v>519546.89035942301</v>
      </c>
      <c r="G67" s="38">
        <v>6017741.6506373202</v>
      </c>
      <c r="H67" s="11" t="s">
        <v>146</v>
      </c>
      <c r="I67" s="11" t="s">
        <v>136</v>
      </c>
      <c r="K67" s="11" t="s">
        <v>170</v>
      </c>
      <c r="L67" s="10" t="s">
        <v>107</v>
      </c>
      <c r="M67" s="10" t="s">
        <v>108</v>
      </c>
      <c r="N67" s="21">
        <v>12</v>
      </c>
      <c r="O67" s="21">
        <v>2.2000000000000002</v>
      </c>
      <c r="P67" s="83"/>
      <c r="Q67" s="87"/>
      <c r="R67" s="83"/>
      <c r="S67" s="83"/>
      <c r="T67" s="87"/>
      <c r="U67" s="87"/>
      <c r="V67" s="83"/>
      <c r="W67" s="87"/>
      <c r="X67" s="83"/>
      <c r="Y67" s="87"/>
      <c r="Z67" s="87"/>
      <c r="AA67" s="83"/>
      <c r="AB67" s="10" t="s">
        <v>94</v>
      </c>
      <c r="AC67" s="10" t="s">
        <v>94</v>
      </c>
      <c r="AD67" s="83"/>
      <c r="AE67" s="83"/>
      <c r="AF67" s="20">
        <f t="shared" si="8"/>
        <v>0</v>
      </c>
      <c r="AG67" s="13">
        <f t="shared" si="1"/>
        <v>0</v>
      </c>
      <c r="AH67" s="7">
        <f t="shared" si="2"/>
        <v>0</v>
      </c>
      <c r="AI67" s="7">
        <f t="shared" si="3"/>
        <v>0</v>
      </c>
      <c r="AJ67" s="7">
        <f t="shared" si="4"/>
        <v>0</v>
      </c>
      <c r="AK67" s="7">
        <f t="shared" si="5"/>
        <v>0</v>
      </c>
      <c r="AL67" s="12">
        <f t="shared" si="9"/>
        <v>0</v>
      </c>
      <c r="AM67" s="14" t="str">
        <f t="shared" si="7"/>
        <v>Passable</v>
      </c>
      <c r="AN67" s="83"/>
      <c r="AO67" s="87"/>
      <c r="AP67" s="10" t="s">
        <v>254</v>
      </c>
    </row>
    <row r="68" spans="1:42" ht="30" x14ac:dyDescent="0.25">
      <c r="A68" s="58">
        <v>45171</v>
      </c>
      <c r="C68" s="10">
        <v>3701268</v>
      </c>
      <c r="D68" s="10" t="s">
        <v>109</v>
      </c>
      <c r="E68" s="11">
        <v>10</v>
      </c>
      <c r="F68" s="38">
        <v>513674.029839592</v>
      </c>
      <c r="G68" s="38">
        <v>6067268.2203022297</v>
      </c>
      <c r="H68" s="11" t="s">
        <v>123</v>
      </c>
      <c r="I68" s="11" t="s">
        <v>136</v>
      </c>
      <c r="K68" s="11" t="s">
        <v>170</v>
      </c>
      <c r="L68" s="10" t="s">
        <v>92</v>
      </c>
      <c r="M68" s="10" t="s">
        <v>93</v>
      </c>
      <c r="N68" s="21">
        <v>1.4</v>
      </c>
      <c r="O68" s="21">
        <v>5</v>
      </c>
      <c r="P68" s="10" t="s">
        <v>94</v>
      </c>
      <c r="Q68" s="87"/>
      <c r="R68" s="10" t="s">
        <v>94</v>
      </c>
      <c r="S68" s="10" t="s">
        <v>95</v>
      </c>
      <c r="T68" s="21">
        <v>75</v>
      </c>
      <c r="U68" s="21">
        <v>0.5</v>
      </c>
      <c r="V68" s="10">
        <v>0</v>
      </c>
      <c r="W68" s="21">
        <v>0.4</v>
      </c>
      <c r="X68" s="10" t="s">
        <v>94</v>
      </c>
      <c r="Y68" s="21">
        <v>1</v>
      </c>
      <c r="Z68" s="21">
        <v>2.2000000000000002</v>
      </c>
      <c r="AA68" s="10">
        <v>1</v>
      </c>
      <c r="AB68" s="10" t="s">
        <v>94</v>
      </c>
      <c r="AC68" s="10" t="s">
        <v>95</v>
      </c>
      <c r="AD68" s="10" t="s">
        <v>96</v>
      </c>
      <c r="AE68" s="10" t="s">
        <v>101</v>
      </c>
      <c r="AF68" s="20">
        <f t="shared" si="8"/>
        <v>1.5714285714285716</v>
      </c>
      <c r="AG68" s="13">
        <f t="shared" ref="AG68:AG131" si="10">IF(O68&lt;15,0,IF(AND(O68&gt;=15,O68&lt;30),3,IF(O68&gt;=30,6,0)))</f>
        <v>0</v>
      </c>
      <c r="AH68" s="7">
        <f t="shared" ref="AH68:AH131" si="11">IF(P68 = "No", 10, IF(ISBLANK(N68), 0, IF(ISBLANK(Q68), 0, IF(OR(Q68 / N68 &lt;= 0.2, Q68 &lt; 0.3), 5, IF(OR(Q68 / N68 &gt;= 0.2, Q68 &gt;= 0.3), 0)))))</f>
        <v>10</v>
      </c>
      <c r="AI68" s="7">
        <f t="shared" ref="AI68:AI131" si="12">IF(V68&lt;0.15,0,IF(AND(V68&gt;=0.15,V68&lt;0.3),5,IF(V68&gt;=0.3,10,0)))</f>
        <v>0</v>
      </c>
      <c r="AJ68" s="7">
        <f t="shared" ref="AJ68:AJ131" si="13">IF(Y68&lt;1,0,IF(AND(Y68&gt;=1,Y68&lt;3),5,IF(Y68&gt;=3,10,0)))</f>
        <v>5</v>
      </c>
      <c r="AK68" s="7">
        <f t="shared" ref="AK68:AK131" si="14">IF(AF68&lt;1,0,IF(AND(AF68&gt;=1,AF68&lt;1.3),3,IF(AF68&gt;=1.3,6,0)))</f>
        <v>6</v>
      </c>
      <c r="AL68" s="12">
        <f t="shared" si="9"/>
        <v>21</v>
      </c>
      <c r="AM68" s="14" t="str">
        <f t="shared" ref="AM68:AM131" si="15">IF(ISBLANK(L68), "", IF(L68 = "Open Bottom Structure", "Passable", IF(L68 = "Other", "Unknown", IF(AL68 &lt; 15, "Passable", IF(AND(AL68 &gt;= 15,AL68 &lt;= 19), "Potential", IF(AL68 &gt; 19, "Barrier", ""))))))</f>
        <v>Barrier</v>
      </c>
      <c r="AN68" s="10" t="s">
        <v>167</v>
      </c>
      <c r="AO68" s="21">
        <v>10</v>
      </c>
      <c r="AP68" s="10" t="s">
        <v>255</v>
      </c>
    </row>
    <row r="69" spans="1:42" ht="30" x14ac:dyDescent="0.25">
      <c r="A69" s="58">
        <v>45171</v>
      </c>
      <c r="C69" s="10">
        <v>3702414</v>
      </c>
      <c r="D69" s="10" t="s">
        <v>109</v>
      </c>
      <c r="E69" s="11">
        <v>10</v>
      </c>
      <c r="F69" s="38">
        <v>517706.712303854</v>
      </c>
      <c r="G69" s="38">
        <v>6068216.7178635104</v>
      </c>
      <c r="H69" s="11" t="s">
        <v>123</v>
      </c>
      <c r="I69" s="11" t="s">
        <v>149</v>
      </c>
      <c r="K69" s="11" t="s">
        <v>177</v>
      </c>
      <c r="L69" s="10" t="s">
        <v>107</v>
      </c>
      <c r="M69" s="10" t="s">
        <v>108</v>
      </c>
      <c r="N69" s="21">
        <v>8</v>
      </c>
      <c r="O69" s="21">
        <v>4</v>
      </c>
      <c r="P69" s="83"/>
      <c r="Q69" s="87"/>
      <c r="R69" s="83"/>
      <c r="S69" s="83"/>
      <c r="T69" s="87"/>
      <c r="U69" s="87"/>
      <c r="V69" s="83"/>
      <c r="W69" s="87"/>
      <c r="X69" s="83"/>
      <c r="Y69" s="87"/>
      <c r="Z69" s="87"/>
      <c r="AA69" s="83"/>
      <c r="AB69" s="10" t="s">
        <v>94</v>
      </c>
      <c r="AC69" s="10" t="s">
        <v>94</v>
      </c>
      <c r="AD69" s="83"/>
      <c r="AE69" s="83"/>
      <c r="AF69" s="20">
        <f t="shared" si="8"/>
        <v>0</v>
      </c>
      <c r="AG69" s="13">
        <f t="shared" si="10"/>
        <v>0</v>
      </c>
      <c r="AH69" s="7">
        <f t="shared" si="11"/>
        <v>0</v>
      </c>
      <c r="AI69" s="7">
        <f t="shared" si="12"/>
        <v>0</v>
      </c>
      <c r="AJ69" s="7">
        <f t="shared" si="13"/>
        <v>0</v>
      </c>
      <c r="AK69" s="7">
        <f t="shared" si="14"/>
        <v>0</v>
      </c>
      <c r="AL69" s="12">
        <f t="shared" si="9"/>
        <v>0</v>
      </c>
      <c r="AM69" s="14" t="str">
        <f t="shared" si="15"/>
        <v>Passable</v>
      </c>
      <c r="AN69" s="83"/>
      <c r="AO69" s="87"/>
      <c r="AP69" s="10" t="s">
        <v>256</v>
      </c>
    </row>
    <row r="70" spans="1:42" x14ac:dyDescent="0.25">
      <c r="A70" s="58">
        <v>45171</v>
      </c>
      <c r="C70" s="10">
        <v>3702410</v>
      </c>
      <c r="D70" s="10" t="s">
        <v>109</v>
      </c>
      <c r="E70" s="11">
        <v>10</v>
      </c>
      <c r="F70" s="38">
        <v>517910.55094485497</v>
      </c>
      <c r="G70" s="38">
        <v>6068378.0848026499</v>
      </c>
      <c r="H70" s="11" t="s">
        <v>99</v>
      </c>
      <c r="I70" s="11" t="s">
        <v>124</v>
      </c>
      <c r="K70" s="11" t="s">
        <v>177</v>
      </c>
      <c r="L70" s="10" t="s">
        <v>107</v>
      </c>
      <c r="M70" s="10" t="s">
        <v>108</v>
      </c>
      <c r="N70" s="21">
        <v>16</v>
      </c>
      <c r="O70" s="21">
        <v>4</v>
      </c>
      <c r="P70" s="83"/>
      <c r="Q70" s="87"/>
      <c r="R70" s="83"/>
      <c r="S70" s="83"/>
      <c r="T70" s="87"/>
      <c r="U70" s="87"/>
      <c r="V70" s="83"/>
      <c r="W70" s="87"/>
      <c r="X70" s="83"/>
      <c r="Y70" s="87"/>
      <c r="Z70" s="87"/>
      <c r="AA70" s="83"/>
      <c r="AB70" s="10" t="s">
        <v>94</v>
      </c>
      <c r="AC70" s="10" t="s">
        <v>94</v>
      </c>
      <c r="AD70" s="83"/>
      <c r="AE70" s="83"/>
      <c r="AF70" s="20">
        <f t="shared" si="8"/>
        <v>0</v>
      </c>
      <c r="AG70" s="13">
        <f t="shared" si="10"/>
        <v>0</v>
      </c>
      <c r="AH70" s="7">
        <f t="shared" si="11"/>
        <v>0</v>
      </c>
      <c r="AI70" s="7">
        <f t="shared" si="12"/>
        <v>0</v>
      </c>
      <c r="AJ70" s="7">
        <f t="shared" si="13"/>
        <v>0</v>
      </c>
      <c r="AK70" s="7">
        <f t="shared" si="14"/>
        <v>0</v>
      </c>
      <c r="AL70" s="12">
        <f t="shared" si="9"/>
        <v>0</v>
      </c>
      <c r="AM70" s="14" t="str">
        <f t="shared" si="15"/>
        <v>Passable</v>
      </c>
      <c r="AN70" s="83"/>
      <c r="AO70" s="87"/>
      <c r="AP70" s="10" t="s">
        <v>257</v>
      </c>
    </row>
    <row r="71" spans="1:42" ht="30" x14ac:dyDescent="0.25">
      <c r="A71" s="58">
        <v>45171</v>
      </c>
      <c r="C71" s="10">
        <v>3702416</v>
      </c>
      <c r="D71" s="10" t="s">
        <v>109</v>
      </c>
      <c r="E71" s="11">
        <v>10</v>
      </c>
      <c r="F71" s="38">
        <v>518807.92156298202</v>
      </c>
      <c r="G71" s="38">
        <v>6067911.9135397999</v>
      </c>
      <c r="H71" s="11" t="s">
        <v>123</v>
      </c>
      <c r="I71" s="11" t="s">
        <v>124</v>
      </c>
      <c r="K71" s="11" t="s">
        <v>177</v>
      </c>
      <c r="L71" s="10" t="s">
        <v>107</v>
      </c>
      <c r="M71" s="10" t="s">
        <v>108</v>
      </c>
      <c r="N71" s="21">
        <v>10</v>
      </c>
      <c r="O71" s="21">
        <v>4</v>
      </c>
      <c r="P71" s="83"/>
      <c r="Q71" s="87"/>
      <c r="R71" s="83"/>
      <c r="S71" s="83"/>
      <c r="T71" s="87"/>
      <c r="U71" s="87"/>
      <c r="V71" s="83"/>
      <c r="W71" s="87"/>
      <c r="X71" s="83"/>
      <c r="Y71" s="87"/>
      <c r="Z71" s="87"/>
      <c r="AA71" s="83"/>
      <c r="AB71" s="10" t="s">
        <v>94</v>
      </c>
      <c r="AC71" s="10" t="s">
        <v>94</v>
      </c>
      <c r="AD71" s="83"/>
      <c r="AE71" s="83"/>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Passable</v>
      </c>
      <c r="AN71" s="83"/>
      <c r="AO71" s="87"/>
      <c r="AP71" s="10" t="s">
        <v>258</v>
      </c>
    </row>
    <row r="72" spans="1:42" ht="30" x14ac:dyDescent="0.25">
      <c r="A72" s="58">
        <v>45171</v>
      </c>
      <c r="C72" s="10">
        <v>3701315</v>
      </c>
      <c r="D72" s="10" t="s">
        <v>109</v>
      </c>
      <c r="E72" s="11">
        <v>10</v>
      </c>
      <c r="F72" s="38">
        <v>520855.701317186</v>
      </c>
      <c r="G72" s="38">
        <v>6068063.9475141298</v>
      </c>
      <c r="H72" s="11" t="s">
        <v>123</v>
      </c>
      <c r="I72" s="11" t="s">
        <v>124</v>
      </c>
      <c r="J72" s="22">
        <v>8.9</v>
      </c>
      <c r="K72" s="11" t="s">
        <v>179</v>
      </c>
      <c r="L72" s="10" t="s">
        <v>107</v>
      </c>
      <c r="M72" s="10" t="s">
        <v>108</v>
      </c>
      <c r="N72" s="21">
        <v>17</v>
      </c>
      <c r="O72" s="21">
        <v>4.5</v>
      </c>
      <c r="P72" s="83"/>
      <c r="Q72" s="87"/>
      <c r="R72" s="83"/>
      <c r="S72" s="83"/>
      <c r="T72" s="87"/>
      <c r="U72" s="87"/>
      <c r="V72" s="83"/>
      <c r="W72" s="87"/>
      <c r="X72" s="83"/>
      <c r="Y72" s="87"/>
      <c r="Z72" s="87"/>
      <c r="AA72" s="83"/>
      <c r="AB72" s="10" t="s">
        <v>94</v>
      </c>
      <c r="AC72" s="10" t="s">
        <v>94</v>
      </c>
      <c r="AD72" s="83"/>
      <c r="AE72" s="83"/>
      <c r="AF72" s="20">
        <f t="shared" si="8"/>
        <v>0</v>
      </c>
      <c r="AG72" s="13">
        <f t="shared" si="10"/>
        <v>0</v>
      </c>
      <c r="AH72" s="7">
        <f t="shared" si="11"/>
        <v>0</v>
      </c>
      <c r="AI72" s="7">
        <f t="shared" si="12"/>
        <v>0</v>
      </c>
      <c r="AJ72" s="7">
        <f t="shared" si="13"/>
        <v>0</v>
      </c>
      <c r="AK72" s="7">
        <f t="shared" si="14"/>
        <v>0</v>
      </c>
      <c r="AL72" s="12">
        <f t="shared" si="16"/>
        <v>0</v>
      </c>
      <c r="AM72" s="14" t="str">
        <f t="shared" si="15"/>
        <v>Passable</v>
      </c>
      <c r="AN72" s="83"/>
      <c r="AO72" s="87"/>
      <c r="AP72" s="10" t="s">
        <v>259</v>
      </c>
    </row>
    <row r="73" spans="1:42" ht="30" x14ac:dyDescent="0.25">
      <c r="A73" s="58">
        <v>45171</v>
      </c>
      <c r="C73" s="10">
        <v>3700214</v>
      </c>
      <c r="D73" s="10" t="s">
        <v>144</v>
      </c>
      <c r="E73" s="11">
        <v>10</v>
      </c>
      <c r="F73" s="38">
        <v>525275.481040766</v>
      </c>
      <c r="G73" s="38">
        <v>6068222.1010755002</v>
      </c>
      <c r="H73" s="11" t="s">
        <v>150</v>
      </c>
      <c r="I73" s="11" t="s">
        <v>149</v>
      </c>
      <c r="J73" s="22">
        <v>13.9</v>
      </c>
      <c r="K73" s="11" t="s">
        <v>179</v>
      </c>
      <c r="L73" s="10" t="s">
        <v>107</v>
      </c>
      <c r="M73" s="10" t="s">
        <v>108</v>
      </c>
      <c r="N73" s="21">
        <v>16</v>
      </c>
      <c r="O73" s="21">
        <v>4</v>
      </c>
      <c r="P73" s="83"/>
      <c r="Q73" s="87"/>
      <c r="R73" s="83"/>
      <c r="S73" s="83"/>
      <c r="T73" s="87"/>
      <c r="U73" s="87"/>
      <c r="V73" s="83"/>
      <c r="W73" s="87"/>
      <c r="X73" s="83"/>
      <c r="Y73" s="87"/>
      <c r="Z73" s="87"/>
      <c r="AA73" s="83"/>
      <c r="AB73" s="10" t="s">
        <v>94</v>
      </c>
      <c r="AC73" s="10" t="s">
        <v>94</v>
      </c>
      <c r="AD73" s="83"/>
      <c r="AE73" s="83"/>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Passable</v>
      </c>
      <c r="AN73" s="83"/>
      <c r="AO73" s="87"/>
      <c r="AP73" s="10" t="s">
        <v>260</v>
      </c>
    </row>
    <row r="74" spans="1:42" ht="30" x14ac:dyDescent="0.25">
      <c r="A74" s="58">
        <v>45171</v>
      </c>
      <c r="C74" s="10">
        <v>3702575</v>
      </c>
      <c r="D74" s="10" t="s">
        <v>109</v>
      </c>
      <c r="E74" s="11">
        <v>10</v>
      </c>
      <c r="F74" s="38">
        <v>522445.45089212002</v>
      </c>
      <c r="G74" s="38">
        <v>6053488.8722574003</v>
      </c>
      <c r="H74" s="11" t="s">
        <v>164</v>
      </c>
      <c r="I74" s="11" t="s">
        <v>166</v>
      </c>
      <c r="K74" s="11" t="s">
        <v>182</v>
      </c>
      <c r="L74" s="10" t="s">
        <v>107</v>
      </c>
      <c r="M74" s="10" t="s">
        <v>108</v>
      </c>
      <c r="N74" s="21">
        <v>10</v>
      </c>
      <c r="O74" s="21">
        <v>4</v>
      </c>
      <c r="P74" s="83"/>
      <c r="Q74" s="87"/>
      <c r="R74" s="83"/>
      <c r="S74" s="83"/>
      <c r="T74" s="87"/>
      <c r="U74" s="87"/>
      <c r="V74" s="83"/>
      <c r="W74" s="87"/>
      <c r="X74" s="83"/>
      <c r="Y74" s="87"/>
      <c r="Z74" s="87"/>
      <c r="AA74" s="83"/>
      <c r="AB74" s="10" t="s">
        <v>94</v>
      </c>
      <c r="AC74" s="10" t="s">
        <v>94</v>
      </c>
      <c r="AD74" s="83"/>
      <c r="AE74" s="83"/>
      <c r="AF74" s="20">
        <f t="shared" si="17"/>
        <v>0</v>
      </c>
      <c r="AG74" s="13">
        <f t="shared" si="10"/>
        <v>0</v>
      </c>
      <c r="AH74" s="7">
        <f t="shared" si="11"/>
        <v>0</v>
      </c>
      <c r="AI74" s="7">
        <f t="shared" si="12"/>
        <v>0</v>
      </c>
      <c r="AJ74" s="7">
        <f t="shared" si="13"/>
        <v>0</v>
      </c>
      <c r="AK74" s="7">
        <f t="shared" si="14"/>
        <v>0</v>
      </c>
      <c r="AL74" s="12">
        <f t="shared" si="16"/>
        <v>0</v>
      </c>
      <c r="AM74" s="14" t="str">
        <f t="shared" si="15"/>
        <v>Passable</v>
      </c>
      <c r="AN74" s="83"/>
      <c r="AO74" s="87"/>
      <c r="AP74" s="10" t="s">
        <v>261</v>
      </c>
    </row>
    <row r="75" spans="1:42" x14ac:dyDescent="0.25">
      <c r="A75" s="58"/>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42" x14ac:dyDescent="0.25">
      <c r="A76" s="58"/>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42" x14ac:dyDescent="0.25">
      <c r="A77" s="58"/>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42" x14ac:dyDescent="0.25">
      <c r="A78" s="58"/>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42" x14ac:dyDescent="0.25">
      <c r="A79" s="58"/>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42" x14ac:dyDescent="0.25">
      <c r="A80" s="58"/>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8"/>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8"/>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8"/>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8"/>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8"/>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8"/>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8"/>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8"/>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8"/>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8"/>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8"/>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8"/>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8"/>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8"/>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8"/>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8"/>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8"/>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8"/>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8"/>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8"/>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8"/>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8"/>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8"/>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8"/>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8"/>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8"/>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8"/>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8"/>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8"/>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8"/>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8"/>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8"/>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8"/>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8"/>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8"/>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8"/>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8"/>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8"/>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8"/>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8"/>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8"/>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8"/>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8"/>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8"/>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8"/>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8"/>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8"/>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8"/>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8"/>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8"/>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8"/>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8"/>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8"/>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8"/>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8"/>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8"/>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8"/>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8"/>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8"/>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8"/>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8"/>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8"/>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8"/>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8"/>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8"/>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8"/>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8"/>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8"/>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8"/>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8"/>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8"/>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8"/>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8"/>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8"/>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8"/>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8"/>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8"/>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8"/>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8"/>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8"/>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8"/>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8"/>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8"/>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8"/>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8"/>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8"/>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8"/>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8"/>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8"/>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8"/>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8"/>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8"/>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8"/>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8"/>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8"/>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8"/>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8"/>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8"/>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8"/>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8"/>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8"/>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8"/>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8"/>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8"/>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8"/>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8"/>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8"/>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8"/>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8"/>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8"/>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8"/>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8"/>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8"/>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8"/>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8"/>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8"/>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8"/>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8"/>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8"/>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8"/>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8"/>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8"/>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8"/>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8"/>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8"/>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8"/>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8"/>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8"/>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8"/>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8"/>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8"/>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8"/>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8"/>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8"/>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8"/>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8"/>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8"/>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8"/>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8"/>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8"/>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8"/>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8"/>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8"/>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8"/>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8"/>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8"/>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8"/>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8"/>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8"/>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8"/>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8"/>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8"/>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8"/>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8"/>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8"/>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8"/>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8"/>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8"/>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8"/>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8"/>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8"/>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8"/>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8"/>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8"/>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8"/>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8"/>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8"/>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8"/>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8"/>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8"/>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8"/>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8"/>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8"/>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8"/>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8"/>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8"/>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8"/>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8"/>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8"/>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8"/>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8"/>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8"/>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8"/>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8"/>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8"/>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8"/>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8"/>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8"/>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8"/>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8"/>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8"/>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8"/>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8"/>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8"/>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8"/>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8"/>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8"/>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8"/>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8"/>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8"/>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8"/>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8"/>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8"/>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8"/>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8"/>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8"/>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8"/>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8"/>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8"/>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8"/>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8"/>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8"/>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8"/>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8"/>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8"/>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8"/>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8"/>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8"/>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8"/>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8"/>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8"/>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8"/>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8"/>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8"/>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8"/>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8"/>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8"/>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8"/>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8"/>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8"/>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8"/>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8"/>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8"/>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8"/>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8"/>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8"/>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8"/>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8"/>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8"/>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8"/>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8"/>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8"/>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8"/>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8"/>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8"/>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8"/>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8"/>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8"/>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8"/>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8"/>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8"/>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8"/>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8"/>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8"/>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8"/>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8"/>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8"/>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8"/>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8"/>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8"/>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8"/>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8"/>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8"/>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8"/>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8"/>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8"/>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8"/>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8"/>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8"/>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8"/>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8"/>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8"/>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8"/>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8"/>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8"/>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8"/>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8"/>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8"/>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8"/>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8"/>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8"/>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8"/>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8"/>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8"/>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8"/>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8"/>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8"/>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8"/>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8"/>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8"/>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8"/>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8"/>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8"/>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8"/>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8"/>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8"/>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8"/>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8"/>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8"/>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8"/>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8"/>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8"/>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8"/>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8"/>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8"/>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8"/>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8"/>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8"/>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8"/>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8"/>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8"/>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8"/>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8"/>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8"/>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8"/>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8"/>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8"/>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8"/>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8"/>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8"/>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8"/>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8"/>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8"/>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8"/>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8"/>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8"/>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8"/>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8"/>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8"/>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8"/>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8"/>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8"/>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8"/>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8"/>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8"/>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8"/>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8"/>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8"/>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8"/>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8"/>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8"/>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8"/>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8"/>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8"/>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8"/>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8"/>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8"/>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8"/>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8"/>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8"/>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8"/>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8"/>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8"/>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8"/>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8"/>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8"/>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8"/>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8"/>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8"/>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8"/>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8"/>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8"/>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8"/>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8"/>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8"/>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8"/>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8"/>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8"/>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8"/>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8"/>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8"/>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8"/>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8"/>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8"/>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8"/>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8"/>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8"/>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8"/>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8"/>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8"/>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8"/>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8"/>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8"/>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8"/>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8"/>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8"/>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8"/>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8"/>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8"/>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8"/>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8"/>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8"/>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8"/>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8"/>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8"/>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8"/>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8"/>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8"/>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8"/>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8"/>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8"/>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8"/>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8"/>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8"/>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8"/>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8"/>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8"/>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8"/>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8"/>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8"/>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8"/>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8"/>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8"/>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8"/>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8"/>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8"/>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8"/>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8"/>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8"/>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8"/>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8"/>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8"/>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8"/>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8"/>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8"/>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8"/>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8"/>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8"/>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8"/>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8"/>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8"/>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8"/>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8"/>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8"/>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8"/>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8"/>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8"/>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8"/>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8"/>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8"/>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8"/>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8"/>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8"/>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8"/>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8"/>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8"/>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8"/>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8"/>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8"/>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8"/>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8"/>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8"/>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8"/>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8"/>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8"/>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8"/>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8"/>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8"/>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8"/>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8"/>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8"/>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8"/>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8"/>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8"/>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8"/>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8"/>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8"/>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8"/>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8"/>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8"/>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8"/>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8"/>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8"/>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8"/>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8"/>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8"/>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8"/>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8"/>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8"/>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8"/>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8"/>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8"/>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8"/>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8"/>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8"/>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8"/>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8"/>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8"/>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8"/>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8"/>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8"/>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8"/>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8"/>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8"/>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8"/>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8"/>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8"/>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8"/>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8"/>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8"/>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8"/>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8"/>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8"/>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8"/>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8"/>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8"/>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8"/>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8"/>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8"/>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8"/>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8"/>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8"/>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8"/>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8"/>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8"/>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8"/>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8"/>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8"/>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8"/>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8"/>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8"/>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8"/>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8"/>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8"/>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8"/>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8"/>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8"/>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8"/>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8"/>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8"/>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8"/>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8"/>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8"/>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8"/>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8"/>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8"/>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8"/>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8"/>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8"/>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8"/>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8"/>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8"/>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8"/>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8"/>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8"/>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8"/>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8"/>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8"/>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8"/>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8"/>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8"/>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8"/>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8"/>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8"/>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8"/>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8"/>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8"/>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8"/>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8"/>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8"/>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8"/>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8"/>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8"/>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8"/>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8"/>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8"/>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8"/>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8"/>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8"/>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8"/>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8"/>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8"/>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8"/>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8"/>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8"/>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8"/>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8"/>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8"/>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8"/>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8"/>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8"/>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8"/>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8"/>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8"/>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8"/>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8"/>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8"/>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8"/>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8"/>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8"/>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8"/>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8"/>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8"/>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8"/>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8"/>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8"/>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8"/>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8"/>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8"/>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8"/>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8"/>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8"/>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8"/>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8"/>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8"/>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8"/>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8"/>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8"/>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8"/>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8"/>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8"/>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8"/>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8"/>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8"/>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8"/>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8"/>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8"/>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8"/>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8"/>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8"/>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8"/>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8"/>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8"/>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8"/>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8"/>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8"/>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8"/>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8"/>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8"/>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8"/>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8"/>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8"/>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8"/>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8"/>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8"/>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8"/>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8"/>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8"/>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8"/>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8"/>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8"/>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8"/>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8"/>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8"/>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8"/>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8"/>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8"/>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8"/>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8"/>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8"/>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8"/>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8"/>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8"/>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8"/>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8"/>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8"/>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8"/>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8"/>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8"/>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8"/>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8"/>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8"/>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8"/>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8"/>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8"/>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8"/>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8"/>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8"/>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8"/>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8"/>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8"/>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8"/>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8"/>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8"/>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8"/>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8"/>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8"/>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8"/>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8"/>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8"/>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8"/>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8"/>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8"/>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8"/>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8"/>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8"/>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8"/>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8"/>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8"/>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8"/>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8"/>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8"/>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8"/>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8"/>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8"/>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8"/>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8"/>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8"/>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8"/>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8"/>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8"/>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8"/>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8"/>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8"/>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8"/>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8"/>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8"/>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8"/>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8"/>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8"/>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8"/>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8"/>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8"/>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8"/>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8"/>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8"/>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8"/>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8"/>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8"/>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8"/>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8"/>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8"/>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8"/>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8"/>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8"/>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8"/>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8"/>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8"/>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8"/>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8"/>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8"/>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8"/>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8"/>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8"/>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8"/>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8"/>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8"/>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8"/>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8"/>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8"/>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8"/>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8"/>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8"/>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8"/>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8"/>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8"/>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8"/>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8"/>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8"/>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8"/>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8"/>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8"/>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8"/>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8"/>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8"/>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8"/>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8"/>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8"/>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8"/>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8"/>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8"/>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8"/>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8"/>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8"/>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8"/>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8"/>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8"/>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8"/>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8"/>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8"/>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8"/>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8"/>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8"/>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8"/>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8"/>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8"/>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8"/>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8"/>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8"/>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8"/>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8"/>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8"/>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8"/>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8"/>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8"/>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8"/>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8"/>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8"/>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8"/>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8"/>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8"/>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8"/>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8"/>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8"/>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8"/>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8"/>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8"/>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8"/>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8"/>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8"/>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8"/>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8"/>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8"/>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8"/>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8"/>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8"/>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8"/>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8"/>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8"/>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8"/>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8"/>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8"/>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8"/>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8"/>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8"/>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8"/>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8"/>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8"/>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8"/>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8"/>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8"/>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8"/>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8"/>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8"/>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8"/>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8"/>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8"/>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8"/>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8"/>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8"/>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8"/>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8"/>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8"/>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8"/>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8"/>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8"/>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8"/>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8"/>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8"/>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8"/>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8"/>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8"/>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8"/>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8"/>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8"/>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8"/>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8"/>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8"/>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8"/>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8"/>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8"/>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8"/>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8"/>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8"/>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8"/>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8"/>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8"/>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8"/>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8"/>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8"/>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8"/>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8"/>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8"/>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8"/>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8"/>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8"/>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8"/>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8"/>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8"/>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8"/>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8"/>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8"/>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8"/>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8"/>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8"/>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8"/>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8"/>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8"/>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8"/>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8"/>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8"/>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8"/>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8"/>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8"/>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8"/>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8"/>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8"/>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8"/>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8"/>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8"/>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8"/>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8"/>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8"/>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8"/>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8"/>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8"/>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8"/>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8"/>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8"/>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8"/>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8"/>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8"/>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8"/>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8"/>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8"/>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8"/>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8"/>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8"/>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8"/>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8"/>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8"/>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8"/>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8"/>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8"/>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8"/>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8"/>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8"/>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8"/>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8"/>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8"/>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8"/>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8"/>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8"/>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8"/>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8"/>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8"/>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8"/>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8"/>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zO73+4jONjk6E+ANuNM+t4KJCyDvW77kLq8ulqdzGwf3aDcSzMunUV557gwrGtFZe0hWJoUqjPVnfXJVK9MP1w==" saltValue="Ri/8x6/EF/k1YuH/oXaoq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68">
    <dataValidation type="list" allowBlank="1" showInputMessage="1" showErrorMessage="1" sqref="AM5284:AM65536" xr:uid="{00000000-0002-0000-0200-000000000000}">
      <formula1>"Passable, Potential, Barrier, Unkown"</formula1>
    </dataValidation>
    <dataValidation type="list" allowBlank="1" showInputMessage="1" showErrorMessage="1" sqref="M7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0 Q48 Q50 Q75: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0 N48 N50 N7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68 N64:N66 N61:N62 N56:N59 N53:N54 N51 N49 N46:N47 N41:N44 N31:N39 N27:N29 N22:N25 N17:N20 N5:N14"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0 Q35 Q14" xr:uid="{00000000-0002-0000-0200-000034000000}">
      <formula1>0.01</formula1>
      <formula2>0.89</formula2>
    </dataValidation>
    <dataValidation type="list" allowBlank="1" showInputMessage="1" showErrorMessage="1" errorTitle="Invalid value entered" error="The crossing subtype is not compatible with a crossing type of Closed Bottom Structure" sqref="M68 M64:M66 M61:M62 M56:M59 M53:M54 M51 M49 M46:M47 M41:M44 M31:M39 M27:M29 M22:M25 M17:M20 M11:M14 M5:M9" xr:uid="{12FF4C5D-BC81-4759-97A9-AD8714BA7C4E}">
      <formula1>"Round Culvert,Oval Culvert,Concrete Box"</formula1>
    </dataValidation>
    <dataValidation type="decimal" allowBlank="1" showInputMessage="1" showErrorMessage="1" errorTitle="Invalid value entered" error="The Average Depth Embededdment you entered is invalid. The Average Depth Embededdment must be &lt;= 1.17 and &gt;= 0.01" sqref="Q5" xr:uid="{7B196275-5ABF-411F-8673-59C2C53AA272}">
      <formula1>0.01</formula1>
      <formula2>1.17</formula2>
    </dataValidation>
    <dataValidation type="decimal" allowBlank="1" showInputMessage="1" showErrorMessage="1" errorTitle="Invalid value entered" error="The Average Depth Embededdment you entered is invalid. The Average Depth Embededdment must be &lt;= 0.69 and &gt;= 0.01" sqref="Q6 Q65 Q36" xr:uid="{AE20B90A-4D69-4E29-BDA0-F98E871C71A5}">
      <formula1>0.01</formula1>
      <formula2>0.69</formula2>
    </dataValidation>
    <dataValidation type="decimal" allowBlank="1" showInputMessage="1" showErrorMessage="1" errorTitle="Invalid value entered" error="The Average Depth Embededdment you entered is invalid. The Average Depth Embededdment must be &lt;= 3.49 and &gt;= 0.01" sqref="Q7 Q43 Q26" xr:uid="{45D7BEB1-CC1E-449B-B5DA-8F81E0F0C895}">
      <formula1>0.01</formula1>
      <formula2>3.49</formula2>
    </dataValidation>
    <dataValidation type="decimal" allowBlank="1" showInputMessage="1" showErrorMessage="1" errorTitle="Invalid value entered" error="The Average Depth Embededdment you entered is invalid. The Average Depth Embededdment must be &lt;= 0.59 and &gt;= 0.01" sqref="Q8 Q66 Q64 Q44 Q41 Q24" xr:uid="{FB0D9741-6BE7-4708-89ED-832777AF086F}">
      <formula1>0.01</formula1>
      <formula2>0.59</formula2>
    </dataValidation>
    <dataValidation type="decimal" allowBlank="1" showInputMessage="1" showErrorMessage="1" errorTitle="Invalid value entered" error="The Average Depth Embededdment you entered is invalid. The Average Depth Embededdment must be &lt;= 4.19 and &gt;= 0.01" sqref="Q9" xr:uid="{FDCF3230-19EA-421C-8CC6-500D3B02B3A9}">
      <formula1>0.01</formula1>
      <formula2>4.19</formula2>
    </dataValidation>
    <dataValidation type="list" allowBlank="1" showInputMessage="1" showErrorMessage="1" errorTitle="Invalid value entered" error="The crossing subtype is not compatible with a crossing type of Other" sqref="M10 M50 M48 M30" xr:uid="{C0C8B42A-F83D-4A02-A117-3B29ACD9148A}">
      <formula1>"Ford"</formula1>
    </dataValidation>
    <dataValidation type="decimal" allowBlank="1" showInputMessage="1" showErrorMessage="1" errorTitle="Invalid value entered" error="The Average Depth Embededdment you entered is invalid. The Average Depth Embededdment must be &lt;= 1.19 and &gt;= 0.01" sqref="Q11 Q62 Q59 Q49 Q37:Q38 Q34 Q28 Q18 Q13" xr:uid="{4913DAD5-63BA-4F38-907E-4E5004F35EB8}">
      <formula1>0.01</formula1>
      <formula2>1.19</formula2>
    </dataValidation>
    <dataValidation type="decimal" allowBlank="1" showInputMessage="1" showErrorMessage="1" errorTitle="Invalid value entered" error="The Average Depth Embededdment you entered is invalid. The Average Depth Embededdment must be &lt;= 2.49 and &gt;= 0.01" sqref="Q12 Q17" xr:uid="{A74681DB-62F1-44DE-8A64-1F56E077B537}">
      <formula1>0.01</formula1>
      <formula2>2.49</formula2>
    </dataValidation>
    <dataValidation type="list" allowBlank="1" showInputMessage="1" showErrorMessage="1" errorTitle="Invalid value entered" error="The crossing subtype is not compatible with a crossing type of Open Bottom Structure" sqref="M69:M74 M67 M63 M60 M55 M52 M45 M40 M26 M21 M15:M16" xr:uid="{FB1A2799-B7D9-4C3D-8DA3-51833B9ABE64}">
      <formula1>"Bridge, Pipe Arch, Wood Box Culvert"</formula1>
    </dataValidation>
    <dataValidation type="decimal" allowBlank="1" showInputMessage="1" showErrorMessage="1" errorTitle="Invalid Diamter or Span" error="The Diameter or Span entered is invalid. Diameter or Span must be &gt; 0 and &lt; 100" sqref="N69:N74 N67 N63 N60 N55 N52 N45 N40 N26 N21 N15:N16" xr:uid="{564F8CF7-ABD1-4648-A210-961624D8EE58}">
      <formula1>0.01</formula1>
      <formula2>100</formula2>
    </dataValidation>
    <dataValidation type="decimal" allowBlank="1" showInputMessage="1" showErrorMessage="1" errorTitle="Invalid value entered" error="The Average Depth Embededdment you entered is invalid. The Average Depth Embededdment must be &lt;= 5.99 and &gt;= 0.01" sqref="Q15:Q16" xr:uid="{2A16AE81-E9EE-4652-9E42-F543927A2F7A}">
      <formula1>0.01</formula1>
      <formula2>5.99</formula2>
    </dataValidation>
    <dataValidation type="decimal" allowBlank="1" showInputMessage="1" showErrorMessage="1" errorTitle="Invalid value entered" error="The Average Depth Embededdment you entered is invalid. The Average Depth Embededdment must be &lt;= 0.79 and &gt;= 0.01" sqref="Q19 Q22" xr:uid="{A9F07A3C-563C-445F-B1E0-F248C976B671}">
      <formula1>0.01</formula1>
      <formula2>0.79</formula2>
    </dataValidation>
    <dataValidation type="decimal" allowBlank="1" showInputMessage="1" showErrorMessage="1" errorTitle="Invalid value entered" error="The Average Depth Embededdment you entered is invalid. The Average Depth Embededdment must be &lt;= 1.89 and &gt;= 0.01" sqref="Q20" xr:uid="{332D5613-06B2-4FEF-8704-6BF5866A8D2F}">
      <formula1>0.01</formula1>
      <formula2>1.89</formula2>
    </dataValidation>
    <dataValidation type="decimal" allowBlank="1" showInputMessage="1" showErrorMessage="1" errorTitle="Invalid value entered" error="The Average Depth Embededdment you entered is invalid. The Average Depth Embededdment must be &lt;= 14.99 and &gt;= 0.01" sqref="Q21 Q40" xr:uid="{1AF0C95B-D0CB-4CC6-9107-3B94E8598CFF}">
      <formula1>0.01</formula1>
      <formula2>14.99</formula2>
    </dataValidation>
    <dataValidation type="decimal" allowBlank="1" showInputMessage="1" showErrorMessage="1" errorTitle="Invalid value entered" error="The Average Depth Embededdment you entered is invalid. The Average Depth Embededdment must be &lt;= 0.74 and &gt;= 0.01" sqref="Q23 Q39" xr:uid="{88189F50-3D2A-44C9-B01C-49B93DB6BA76}">
      <formula1>0.01</formula1>
      <formula2>0.74</formula2>
    </dataValidation>
    <dataValidation type="decimal" allowBlank="1" showInputMessage="1" showErrorMessage="1" errorTitle="Invalid value entered" error="The Average Depth Embededdment you entered is invalid. The Average Depth Embededdment must be &lt;= 1.09 and &gt;= 0.01" sqref="Q25" xr:uid="{902BEF71-2215-4ABB-98CD-6680009AF9FE}">
      <formula1>0.01</formula1>
      <formula2>1.09</formula2>
    </dataValidation>
    <dataValidation type="decimal" allowBlank="1" showInputMessage="1" showErrorMessage="1" errorTitle="Invalid value entered" error="The Average Depth Embededdment you entered is invalid. The Average Depth Embededdment must be &lt;= 1.69 and &gt;= 0.01" sqref="Q27" xr:uid="{D7BBAC55-191E-455A-8FB5-DE63F48397F4}">
      <formula1>0.01</formula1>
      <formula2>1.69</formula2>
    </dataValidation>
    <dataValidation type="decimal" allowBlank="1" showInputMessage="1" showErrorMessage="1" errorTitle="Invalid value entered" error="The Average Depth Embededdment you entered is invalid. The Average Depth Embededdment must be &lt;= 1.79 and &gt;= 0.01" sqref="Q29" xr:uid="{CFBD031B-1CE5-4B30-B368-E646B510E9BD}">
      <formula1>0.01</formula1>
      <formula2>1.79</formula2>
    </dataValidation>
    <dataValidation type="decimal" allowBlank="1" showInputMessage="1" showErrorMessage="1" errorTitle="Invalid value entered" error="The Average Depth Embededdment you entered is invalid. The Average Depth Embededdment must be &lt;= 0.49 and &gt;= 0.01" sqref="Q31 Q61 Q46" xr:uid="{B1573AD8-2F24-4E4A-814A-1F6B136EFEE0}">
      <formula1>0.01</formula1>
      <formula2>0.49</formula2>
    </dataValidation>
    <dataValidation type="decimal" allowBlank="1" showInputMessage="1" showErrorMessage="1" errorTitle="Invalid value entered" error="The Average Depth Embededdment you entered is invalid. The Average Depth Embededdment must be &lt;= 1.99 and &gt;= 0.01" sqref="Q32" xr:uid="{DB57C87F-31CE-43D3-B9C0-E107FCA183BA}">
      <formula1>0.01</formula1>
      <formula2>1.99</formula2>
    </dataValidation>
    <dataValidation type="decimal" allowBlank="1" showInputMessage="1" showErrorMessage="1" errorTitle="Invalid value entered" error="The Average Depth Embededdment you entered is invalid. The Average Depth Embededdment must be &lt;= 1.49 and &gt;= 0.01" sqref="Q33 Q42" xr:uid="{1AED8836-D83D-49A3-A16E-1B78ECA3108B}">
      <formula1>0.01</formula1>
      <formula2>1.49</formula2>
    </dataValidation>
    <dataValidation type="decimal" allowBlank="1" showInputMessage="1" showErrorMessage="1" errorTitle="Invalid value entered" error="The Average Depth Embededdment you entered is invalid. The Average Depth Embededdment must be &lt;= 13.99 and &gt;= 0.01" sqref="Q45" xr:uid="{B728991B-597B-4111-B4F4-2DA0098C08A2}">
      <formula1>0.01</formula1>
      <formula2>13.99</formula2>
    </dataValidation>
    <dataValidation type="decimal" allowBlank="1" showInputMessage="1" showErrorMessage="1" errorTitle="Invalid value entered" error="The Average Depth Embededdment you entered is invalid. The Average Depth Embededdment must be &lt;= 0.99 and &gt;= 0.01" sqref="Q47 Q53" xr:uid="{F009D8FF-541B-4174-A5E7-DC962AA01031}">
      <formula1>0.01</formula1>
      <formula2>0.99</formula2>
    </dataValidation>
    <dataValidation type="decimal" allowBlank="1" showInputMessage="1" showErrorMessage="1" errorTitle="Invalid value entered" error="The Average Depth Embededdment you entered is invalid. The Average Depth Embededdment must be &lt;= 1.74 and &gt;= 0.01" sqref="Q51 Q56:Q57" xr:uid="{C2F2AE35-23EC-4243-9F43-39EAC8DC9064}">
      <formula1>0.01</formula1>
      <formula2>1.74</formula2>
    </dataValidation>
    <dataValidation type="decimal" allowBlank="1" showInputMessage="1" showErrorMessage="1" errorTitle="Invalid value entered" error="The Average Depth Embededdment you entered is invalid. The Average Depth Embededdment must be &lt;= 12.99 and &gt;= 0.01" sqref="Q52 Q63" xr:uid="{D396F37D-55E8-4FB4-B282-80131CE370CF}">
      <formula1>0.01</formula1>
      <formula2>12.99</formula2>
    </dataValidation>
    <dataValidation type="decimal" allowBlank="1" showInputMessage="1" showErrorMessage="1" errorTitle="Invalid value entered" error="The Average Depth Embededdment you entered is invalid. The Average Depth Embededdment must be &lt;= 3.59 and &gt;= 0.01" sqref="Q54" xr:uid="{E99FDAE1-18CA-4F31-931B-974D4748DB98}">
      <formula1>0.01</formula1>
      <formula2>3.59</formula2>
    </dataValidation>
    <dataValidation type="decimal" allowBlank="1" showInputMessage="1" showErrorMessage="1" errorTitle="Invalid value entered" error="The Average Depth Embededdment you entered is invalid. The Average Depth Embededdment must be &lt;= 19.59 and &gt;= 0.01" sqref="Q55" xr:uid="{3BF0F13B-A96C-4167-8E3C-86FDB2B048BF}">
      <formula1>0.01</formula1>
      <formula2>19.59</formula2>
    </dataValidation>
    <dataValidation type="decimal" allowBlank="1" showInputMessage="1" showErrorMessage="1" errorTitle="Invalid value entered" error="The Average Depth Embededdment you entered is invalid. The Average Depth Embededdment must be &lt;= 2.09 and &gt;= 0.01" sqref="Q58" xr:uid="{48023EC8-4575-4BD3-B058-F0F5A780635D}">
      <formula1>0.01</formula1>
      <formula2>2.09</formula2>
    </dataValidation>
    <dataValidation type="decimal" allowBlank="1" showInputMessage="1" showErrorMessage="1" errorTitle="Invalid value entered" error="The Average Depth Embededdment you entered is invalid. The Average Depth Embededdment must be &lt;= 6.99 and &gt;= 0.01" sqref="Q60" xr:uid="{CA6C3141-A351-47E4-AD43-D181439488CB}">
      <formula1>0.01</formula1>
      <formula2>6.99</formula2>
    </dataValidation>
    <dataValidation type="decimal" allowBlank="1" showInputMessage="1" showErrorMessage="1" errorTitle="Invalid value entered" error="The Average Depth Embededdment you entered is invalid. The Average Depth Embededdment must be &lt;= 11.99 and &gt;= 0.01" sqref="Q67" xr:uid="{40DA8457-27A6-486A-8969-E88FCE175AD9}">
      <formula1>0.01</formula1>
      <formula2>11.99</formula2>
    </dataValidation>
    <dataValidation type="decimal" allowBlank="1" showInputMessage="1" showErrorMessage="1" errorTitle="Invalid value entered" error="The Average Depth Embededdment you entered is invalid. The Average Depth Embededdment must be &lt;= 1.39 and &gt;= 0.01" sqref="Q68" xr:uid="{49B54EA0-4769-4141-92E7-8CCD3C7613E4}">
      <formula1>0.01</formula1>
      <formula2>1.39</formula2>
    </dataValidation>
    <dataValidation type="decimal" allowBlank="1" showInputMessage="1" showErrorMessage="1" errorTitle="Invalid value entered" error="The Average Depth Embededdment you entered is invalid. The Average Depth Embededdment must be &lt;= 7.99 and &gt;= 0.01" sqref="Q69" xr:uid="{0917EF74-DC10-42D7-A5DC-6885A4A58004}">
      <formula1>0.01</formula1>
      <formula2>7.99</formula2>
    </dataValidation>
    <dataValidation type="decimal" allowBlank="1" showInputMessage="1" showErrorMessage="1" errorTitle="Invalid value entered" error="The Average Depth Embededdment you entered is invalid. The Average Depth Embededdment must be &lt;= 15.99 and &gt;= 0.01" sqref="Q70 Q73" xr:uid="{5D3A9C58-0947-4D7E-BE52-534D2E6E7317}">
      <formula1>0.01</formula1>
      <formula2>15.99</formula2>
    </dataValidation>
    <dataValidation type="decimal" allowBlank="1" showInputMessage="1" showErrorMessage="1" errorTitle="Invalid value entered" error="The Average Depth Embededdment you entered is invalid. The Average Depth Embededdment must be &lt;= 9.99 and &gt;= 0.01" sqref="Q71 Q74" xr:uid="{8AD4B0A4-7C5D-4B05-A061-6A5C70953CB5}">
      <formula1>0.01</formula1>
      <formula2>9.99</formula2>
    </dataValidation>
    <dataValidation type="decimal" allowBlank="1" showInputMessage="1" showErrorMessage="1" errorTitle="Invalid value entered" error="The Average Depth Embededdment you entered is invalid. The Average Depth Embededdment must be &lt;= 16.99 and &gt;= 0.01" sqref="Q72" xr:uid="{581538C6-01AF-4B32-BAF9-0427C4B7439B}">
      <formula1>0.01</formula1>
      <formula2>16.99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2023-11-10T19:37:47Z</dcterms:modified>
</cp:coreProperties>
</file>