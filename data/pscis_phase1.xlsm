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F533DB5E-0406-466B-A3CA-1728DA600199}"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<sst xmlns="http://schemas.openxmlformats.org/spreadsheetml/2006/main" count="953" uniqueCount="249">
  <si>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</si>
  <si>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</si>
  <si>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</si>
  <si>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</si>
  <si>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</si>
  <si>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</si>
  <si>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</si>
  <si>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</si>
  <si>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</si>
  <si>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</si>
  <si>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</si>
  <si>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</si>
  <si>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</si>
  <si>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</si>
  <si>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</si>
  <si>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</si>
  <si>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</si>
  <si>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</si>
  <si>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</si>
  <si>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</si>
  <si>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</si>
  <si>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</si>
  <si>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</si>
  <si>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</si>
  <si>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</si>
  <si>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</si>
  <si>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</si>
  <si>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</si>
  <si>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</si>
  <si>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</si>
  <si>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</si>
  <si>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</si>
  <si>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</si>
  <si>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</si>
  <si>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</si>
  <si>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</si>
  <si>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</si>
  <si>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</si>
  <si>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</si>
  <si>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</si>
  <si>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</si>
  <si>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</si>
  <si>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</si>
  <si>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</si>
  <si>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</si>
  <si>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</si>
  <si>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</si>
  <si>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</si>
  <si>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</si>
  <si>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</si>
  <si>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</si>
  <si>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</si>
  <si>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</si>
  <si>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</si>
  <si>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</si>
  <si>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</si>
  <si>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</si>
  <si>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</si>
  <si>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</si>
  <si>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</si>
  <si>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</si>
  <si>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</si>
  <si>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</si>
  <si>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</si>
  <si>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</si>
  <si>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</si>
  <si>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</si>
  <si>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</si>
  <si>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</si>
  <si>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</si>
  <si>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</si>
  <si>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</si>
  <si>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</si>
  <si>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</si>
  <si>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</si>
  <si>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</si>
  <si>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</si>
  <si>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</si>
  <si>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</si>
  <si>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</si>
  <si>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</si>
  <si>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</si>
  <si>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</si>
  <si>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</si>
  <si>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</si>
  <si>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</si>
  <si>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</si>
  <si>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</si>
  <si>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</si>
  <si>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</si>
  <si>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</si>
  <si>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</si>
  <si>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</si>
  <si>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</si>
  <si>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</si>
  <si>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</si>
  <si>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</si>
  <si>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</si>
  <si>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Pipe Arch</t>
  </si>
  <si>
    <t>Medium</t>
  </si>
  <si>
    <t>Altezega Creek</t>
  </si>
  <si>
    <t>Oval Culvert</t>
  </si>
  <si>
    <t>High</t>
  </si>
  <si>
    <t>Unknown</t>
  </si>
  <si>
    <t>Other</t>
  </si>
  <si>
    <t>MoTi</t>
  </si>
  <si>
    <t>Tsatchuka Creek</t>
  </si>
  <si>
    <t>Highway 97</t>
  </si>
  <si>
    <t xml:space="preserve"> MOTI</t>
  </si>
  <si>
    <t>Whiskers Creek</t>
  </si>
  <si>
    <t xml:space="preserve">Campground </t>
  </si>
  <si>
    <t>MoE</t>
  </si>
  <si>
    <t>Open Bottom Structure</t>
  </si>
  <si>
    <t>Bridge</t>
  </si>
  <si>
    <t xml:space="preserve"> MOE</t>
  </si>
  <si>
    <t>MW</t>
  </si>
  <si>
    <t>Miller Creek</t>
  </si>
  <si>
    <t>Summit Lake Rd</t>
  </si>
  <si>
    <t>O'Dell Creek</t>
  </si>
  <si>
    <t>Neilson Creek</t>
  </si>
  <si>
    <t>Caine Creek FSR</t>
  </si>
  <si>
    <t>Witters Creek</t>
  </si>
  <si>
    <t>Railway</t>
  </si>
  <si>
    <t>Tributary to Crooked River</t>
  </si>
  <si>
    <t>Davie-Bear Lake FSR</t>
  </si>
  <si>
    <t>AI</t>
  </si>
  <si>
    <t xml:space="preserve">MOTI          </t>
  </si>
  <si>
    <t xml:space="preserve">Pipeline          </t>
  </si>
  <si>
    <t xml:space="preserve">  MOTI</t>
  </si>
  <si>
    <t>42 Mile Creek</t>
  </si>
  <si>
    <t>Kerry FSR</t>
  </si>
  <si>
    <t xml:space="preserve">Carrie FSR          </t>
  </si>
  <si>
    <t xml:space="preserve">Kerry FSR          </t>
  </si>
  <si>
    <t>Tributary to Altezega Creek</t>
  </si>
  <si>
    <t>Firth Lake FSR</t>
  </si>
  <si>
    <t>Tributary to Weedon Creek</t>
  </si>
  <si>
    <t>Tributary to Weedon Lake</t>
  </si>
  <si>
    <t>Tributary to Davie Lake</t>
  </si>
  <si>
    <t>Davie Lake FSR</t>
  </si>
  <si>
    <t xml:space="preserve">Tributary to </t>
  </si>
  <si>
    <t>AI JD TS BP</t>
  </si>
  <si>
    <t xml:space="preserve">Tributary to Hammett Creek          </t>
  </si>
  <si>
    <t>Al</t>
  </si>
  <si>
    <t>Carp Lake FSR</t>
  </si>
  <si>
    <t>Davie-War FSR</t>
  </si>
  <si>
    <t>AI TS</t>
  </si>
  <si>
    <t>Tributary to David Lake</t>
  </si>
  <si>
    <t>David Lake FSR</t>
  </si>
  <si>
    <t>Tributary to Macleod Lake</t>
  </si>
  <si>
    <t>Spur</t>
  </si>
  <si>
    <t>AI MD</t>
  </si>
  <si>
    <t>Davie-Muskeg FSR</t>
  </si>
  <si>
    <t>Al MD</t>
  </si>
  <si>
    <t xml:space="preserve">Tributary to Crooked River </t>
  </si>
  <si>
    <t>Tributary to McLeod Lake</t>
  </si>
  <si>
    <t>Campground</t>
  </si>
  <si>
    <t>Tributary to 42 Mile Creek</t>
  </si>
  <si>
    <t>Unnamed</t>
  </si>
  <si>
    <t xml:space="preserve">MW </t>
  </si>
  <si>
    <t>Teapot Creek</t>
  </si>
  <si>
    <t>Balsam Creek</t>
  </si>
  <si>
    <t>Enquist Creek</t>
  </si>
  <si>
    <t>Tributary to Boot Lake</t>
  </si>
  <si>
    <t xml:space="preserve">Firth Lake FSR </t>
  </si>
  <si>
    <t>Redrocky Creek</t>
  </si>
  <si>
    <t>Backwatered. No water in culvert. Some water near inlet and outlet. Stream dewaters downstream again after ~20m.</t>
  </si>
  <si>
    <t xml:space="preserve">Grate on inlet. Backwatered and big wetland area upstream. Difficult to determine where stream Is, width and gradient estimated. </t>
  </si>
  <si>
    <t>Enormous outlet pool indicating culvert may be undersized. Numerous fish spotted in outlet pool and inlet side. Debris jams covering entire stream channel at inlet and at outlet of outlet pool. Pool very deep, depth estimated.</t>
  </si>
  <si>
    <t>Very little flow through culvert. Overgrown channel. Very little water in stream. Not likely fish bearing.</t>
  </si>
  <si>
    <t xml:space="preserve">Fish spotted in culvert and near inlet. Some substrate and cobbles in pipe. </t>
  </si>
  <si>
    <t>High habitat quality. Old quad trail. Small trib flowing into creek from one side.</t>
  </si>
  <si>
    <t xml:space="preserve">Stream is located between McLeod Lake Store on Highway and Tseâ€Khene food and fuel entrance. Most of the watershed drains reservation land. Could potentially be backwatered as an interim solution.   Channell with estimated upstream in wetland type habitat so difficult to tell.  </t>
  </si>
  <si>
    <t>Grate on inlet and beaver influenced wetland upstream.  Inlet blocked by beaver debris with beaver trap on inlet.  Potentially good candidate for leveler to maintain beaver activity without attempting to remove the animals.</t>
  </si>
  <si>
    <t xml:space="preserve">Abundant gravels, suitable for spawning upstream. Although flows are minimal, the streams does still have water.  Models having over 3 km of habitat upstream below 5%. Although no fish are recorded as present upstream it seems highly likely that this would be a fish fan stream. If the cover it was not there. Outlet drop is 80cm.  Steep section of pipe at the inlet recorded as inlet drop.               </t>
  </si>
  <si>
    <t xml:space="preserve">Discovered is extremely under sized. Nice stream with pockets of gravel and good flow upstream. Rainbow known in the system. Culvert is literally unravelling at the downstream and with a very large outlet pool. Beaver activity noted downstream. Seems very unlikely that any fish passed through that pipe.          </t>
  </si>
  <si>
    <t xml:space="preserve">Nice little campground bridge          </t>
  </si>
  <si>
    <t xml:space="preserve">There are four bridges in total within 200m          With 2 inventoried. Other two bridges should be added to bcfishpass.          </t>
  </si>
  <si>
    <t xml:space="preserve">Beaver activity downstream with extensive beaver influence wetlands upstream. 1 1/2 m high blockage at the inlet to to beaver activity. Stream with difficult to estimate due to wetland nature of habitat upstream. This is the first road stream crossing on this stream to be an issue as all downstream, crossings or bridges within whiskers point provincial park campground.          </t>
  </si>
  <si>
    <t xml:space="preserve">Culvert is fully submerged on outlet side. No stream found beyond outlet pool. Big wetland complex on upstream side. No defined channel. Stream slope, channel width, and culvert slope were estimated. </t>
  </si>
  <si>
    <t xml:space="preserve">Beaver grate on inlet side. Big wetland area upstream, backwaters, and no defined stream channel. Some flow downstream. Very little flow through pipe. </t>
  </si>
  <si>
    <t xml:space="preserve">Debris jam at inlet creating small drop. Large wetland area upstream and downstream. No well defined channel. </t>
  </si>
  <si>
    <t xml:space="preserve">Culvert in very bad condition. Debris jam blocking inlet. Stream habitat ok, some deep pools and abundant riparian vegetation. </t>
  </si>
  <si>
    <t xml:space="preserve">No visible channel upstream. Very little flow through culvert. Some water and cobbles at outlet. </t>
  </si>
  <si>
    <t>Small amount of water in pipe. Channel is overgrown downstream. Almost no flow in stream.</t>
  </si>
  <si>
    <t>Wetland habitat, no flow. No culvert found south where modelled crossing is supposed to be on map.</t>
  </si>
  <si>
    <t>Looks like good habitat downstream. Wetland upstream.</t>
  </si>
  <si>
    <t>Two pipes. Added 2 diameters. Big wetland upstream and downstream. No well defined channel.</t>
  </si>
  <si>
    <t>Backwatered, wetland downstream. Culvert is rusted.</t>
  </si>
  <si>
    <t xml:space="preserve">100% back watered culvert with lots of beaver activity and wetland area upstream. In the drop is created by beaver generated shrub material so back watering is happening however, there is a step of approximately 0.6 m at the top end of the pipe. Black algae throughout channel downstream.  Downstream channel appears to potentially be constructed of rock at approximately 3.8 m wide before entering more Beaverdam influence wetland habitat.          </t>
  </si>
  <si>
    <t xml:space="preserve">Armoured Ford on pipeline. Immediately downstream of highway.          </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</si>
  <si>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t>
  </si>
  <si>
    <t xml:space="preserve">Nice stream with good flow and abundant gravel suitably sized responding some on it. Culvert is 100% backordered and fully embedded. It appears as though there have been some very high flow events that are most significant amounts of travel, substrate, upstream and downstream. See photos. Channell seems overly straight and deep so suspect machine work has been done to dredge out the pricing, upstream and downstream.                   </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</si>
  <si>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t>
  </si>
  <si>
    <t xml:space="preserve">Very nice stream with good flows an appointment gravel. Healthy riparian with evidence of beaver activity, including dam, approximately 5 m downstream of outlet which has back, watered the entire structure, including the outlet of the pipe, which is approximately 10 cm below the surface. It appears as though the crossing has been dredged with a machine recently, both upstream and downstream to deal with substrate deposition.                   </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</si>
  <si>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t>
  </si>
  <si>
    <t xml:space="preserve"> Unlikely a fish stream. Dry at the time of assessment.</t>
  </si>
  <si>
    <t xml:space="preserve">Nice little stream with decent flow for this time of year. Pockets of gravel throughout and healthy shrub and mixed riparian. Fish presence unknown, but seems likely due to proximity to Kerry lake with low gradients          </t>
  </si>
  <si>
    <t>Stream dry at time of survey. Appears to be a fairly large system with abundant travels present throughout. Estimated  2 to 300 m of lower gradient habitat upstream that could be useful for downstream populations in the spring.     Huge outlet drop and very large dry pool indicating pipe is undersized.</t>
  </si>
  <si>
    <t>High habitat value upstream. Many fish spotted in outlet pool. Trib to big system. Culvert old and not in great shape. Needs to be replaced.</t>
  </si>
  <si>
    <t xml:space="preserve">Bridge over wetland drainage area. Channel dry at time of assessment. Not a mapped stream but a wetland area upstream of the highway.          </t>
  </si>
  <si>
    <t>No clear defined channel. Gradient and channel width could not be determined. Dewatered stream. Small, old culvert.</t>
  </si>
  <si>
    <t>Big beaver dam directly on inlet side. Wetland downstream.</t>
  </si>
  <si>
    <t>Two culverts of equal length. Debris blockage on inlet side of both pipes. Some flow through culvert. Right culvert is caved in near inlet.</t>
  </si>
  <si>
    <t>Big outlet drop with big outlet pool.</t>
  </si>
  <si>
    <t>High habitat value. Good flowing stream.</t>
  </si>
  <si>
    <t xml:space="preserve">Dewatered channel. Very overgrown and no clear channel. Channel width and gradient estimated. </t>
  </si>
  <si>
    <t xml:space="preserve">Stream dry at the time of assessment. This is a larger system during runoff with abundant gravelâ€˜s present suitable for rainbow spawning. Old pipe located downstream of the crossing proximately 20 m. Healthy riparian mixed forest.                    </t>
  </si>
  <si>
    <t xml:space="preserve">Ford. Deep deactivation will block all ATV access.          </t>
  </si>
  <si>
    <t xml:space="preserve">Small stream with dry, mostly vegetated channel indicating stream rarely flows. Very unlikely that fish try to access upstream of the road.          </t>
  </si>
  <si>
    <t xml:space="preserve"> Ford. Deactivated road with ATV drive around.          </t>
  </si>
  <si>
    <t xml:space="preserve">Large wetland areas, upstream and downstream. Culvert appears to have settled in the middle with raised inlet and outlet. Beaverdam over 1 m high located just upstream of inlet.          </t>
  </si>
  <si>
    <t xml:space="preserve">Abundant gravel downstream. Minimal flow but channel is well defined indicating it flows most the year.  Crossing modelled as just upstream a couple hundred metres does not exist, and should be entered into bcfishpass.          </t>
  </si>
  <si>
    <t xml:space="preserve">Three pipes. Stream is completely dewatered. No water flowing through culvert. Culvert diameter totaled between three. </t>
  </si>
  <si>
    <t xml:space="preserve">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t>
  </si>
  <si>
    <t xml:space="preserve">Pipe is an extremely bad condition. There are collapsed sections at the edge of the road prism both upstream and downstream. Large system with decent flow. Some gravelâ€™s suitable for spawning downstream.          </t>
  </si>
  <si>
    <t xml:space="preserve">Low Gadient wetland type habitat with find substrates upstream. Decent size drainage with some water in the channel but no actual flow.  Some gravels downstream.          </t>
  </si>
  <si>
    <t xml:space="preserve">Small culvert within the campground area. Approximately 40 m upstream of the mouth of the lake.          </t>
  </si>
  <si>
    <t>Small stream with some flow.</t>
  </si>
  <si>
    <t>Very small culvert, dewatered. No well defined channel present. Channel width and slope estimated. Main flow of stream likely goes under bridge nearby.</t>
  </si>
  <si>
    <t xml:space="preserve">Wetland upstream and downstream. Stream gradient estimated. No water in culvert, dewatered downstream near crossing. Blockage at inlet. Steep embankment above culvert, risk of rockslide high. </t>
  </si>
  <si>
    <t>Very little flow and water at time of survey. Huge downed trees on downstream side.</t>
  </si>
  <si>
    <t>Culvert was in wrong location on map. A lot of fry fish spotted near outlet. Culvert very rusted and near the end of its life. Small channel upstream running along road for 20m but no defined channel after that.</t>
  </si>
  <si>
    <t xml:space="preserve">Fry and parr spotted upstream and downstream of crossing. Culvert very rusted on inlet side. Wetland habitat upstream. Channel narrows downstream and is a little overgrown but has moderate flow. </t>
  </si>
  <si>
    <t>Stream is dewatered. No clearly defined channel up or downstream. Small tree growing on inlet side, sign that there hasn't been water flowing in a long time. Channel width and slope estimated.</t>
  </si>
  <si>
    <t>Looks like there was once a very old bridge here. Very overgrown and rotten. Water passing underneath but not flowing. Not a fish passage issue.</t>
  </si>
  <si>
    <t xml:space="preserve">Two culverts, one plastic pipe and one really old metal pipe. Metal pipe is longer, outlets are at different spots. </t>
  </si>
  <si>
    <t>No water flowing under bridge at time of survey. Dewatered downstream.</t>
  </si>
  <si>
    <t>Nice looking stream with good flow.</t>
  </si>
  <si>
    <t>Dewatered stream at time of survey.</t>
  </si>
  <si>
    <t>Wetland upstream and downstream. No flowing water under bridge.</t>
  </si>
  <si>
    <t>Small lake upstream. Modelled crossing was in wrong location.</t>
  </si>
  <si>
    <t>Copper Creek</t>
  </si>
  <si>
    <t>Red Rocky Creek</t>
  </si>
  <si>
    <t>Tributary to McLeod lake</t>
  </si>
  <si>
    <t>Tributary to Kari Lake</t>
  </si>
  <si>
    <t>Tributary to Kerry Lake</t>
  </si>
  <si>
    <t>MW MD</t>
  </si>
  <si>
    <t>Davie-Weedon Lake FSR</t>
  </si>
  <si>
    <t>MW MD JD BD</t>
  </si>
  <si>
    <t>Tributary to Hammett Creek</t>
  </si>
  <si>
    <t xml:space="preserve">Davie-Weedon Lake FSR          </t>
  </si>
  <si>
    <t>David-Weedon Lake FSR</t>
  </si>
  <si>
    <t>MW TS JD BP</t>
  </si>
  <si>
    <t>Tributary  to McLeod Lake</t>
  </si>
  <si>
    <t>Campground Road</t>
  </si>
  <si>
    <t xml:space="preserve">Pipeline </t>
  </si>
  <si>
    <t>Highway  97</t>
  </si>
  <si>
    <t>Lincoln Creek</t>
  </si>
  <si>
    <t>Chuchinka Red Rocky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</si>
</sst>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0" fontId="0" fillId="10" borderId="0" xfId="0" applyFill="1" applyProtection="1"/>
    <xf numFmtId="2" fontId="0" fillId="0" borderId="0" xfId="0" applyNumberFormat="1" applyFill="1" applyProtection="1">
      <protection locked="0"/>
    </xf>
    <xf numFmtId="0" fontId="5" fillId="0" borderId="0" xfId="2" applyFill="1" applyProtection="1">
      <protection locked="0"/>
    </xf>
    <xf numFmtId="2" fontId="5" fillId="0" borderId="0" xfId="2" applyNumberFormat="1" applyFill="1" applyProtection="1">
      <protection locked="0"/>
    </xf>
    <xf numFmtId="2" fontId="0" fillId="10" borderId="0" xfId="0" applyNumberFormat="1" applyFill="1" applyProtection="1"/>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7"/>
    </row>
    <row r="8" spans="1:20" x14ac:dyDescent="0.25">
      <c r="A8" s="4" t="s">
        <v>73</v>
      </c>
    </row>
    <row r="9" spans="1:20" x14ac:dyDescent="0.25">
      <c r="A9" s="4" t="s">
        <v>74</v>
      </c>
    </row>
    <row r="10" spans="1:20" x14ac:dyDescent="0.25">
      <c r="A10" s="4" t="s">
        <v>75</v>
      </c>
      <c r="B10" s="78"/>
    </row>
    <row r="11" spans="1:20" x14ac:dyDescent="0.25">
      <c r="A11" s="4"/>
      <c r="B11" s="10"/>
    </row>
    <row r="12" spans="1:20" x14ac:dyDescent="0.25">
      <c r="A12" s="4" t="s">
        <v>36</v>
      </c>
      <c r="B12" s="77"/>
    </row>
    <row r="13" spans="1:20" x14ac:dyDescent="0.25">
      <c r="A13" s="4" t="s">
        <v>37</v>
      </c>
    </row>
    <row r="14" spans="1:20" x14ac:dyDescent="0.25">
      <c r="A14" s="4" t="s">
        <v>38</v>
      </c>
    </row>
    <row r="15" spans="1:20" x14ac:dyDescent="0.25">
      <c r="A15" s="4" t="s">
        <v>39</v>
      </c>
      <c r="B15" s="78"/>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73" sqref="AP73"/>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84">
        <v>45163</v>
      </c>
      <c r="C5" s="83">
        <v>3700002</v>
      </c>
      <c r="D5" s="83" t="s">
        <v>115</v>
      </c>
      <c r="E5" s="85">
        <v>10</v>
      </c>
      <c r="F5" s="86">
        <v>519645.85732608801</v>
      </c>
      <c r="G5" s="86">
        <v>6041053.0219735401</v>
      </c>
      <c r="H5" s="85" t="s">
        <v>231</v>
      </c>
      <c r="I5" s="85" t="s">
        <v>107</v>
      </c>
      <c r="J5" s="79"/>
      <c r="L5" s="83" t="s">
        <v>92</v>
      </c>
      <c r="M5" s="83" t="s">
        <v>93</v>
      </c>
      <c r="N5" s="87">
        <v>1.18</v>
      </c>
      <c r="O5" s="87">
        <v>22</v>
      </c>
      <c r="P5" s="83" t="s">
        <v>94</v>
      </c>
      <c r="Q5" s="88"/>
      <c r="R5" s="83" t="s">
        <v>94</v>
      </c>
      <c r="S5" s="83" t="s">
        <v>95</v>
      </c>
      <c r="T5" s="83">
        <v>100</v>
      </c>
      <c r="U5" s="83">
        <v>1.2</v>
      </c>
      <c r="V5" s="83">
        <v>0.4</v>
      </c>
      <c r="W5" s="83">
        <v>0.6</v>
      </c>
      <c r="X5" s="83" t="s">
        <v>94</v>
      </c>
      <c r="Y5" s="83">
        <v>2.5</v>
      </c>
      <c r="Z5" s="83">
        <v>3.7</v>
      </c>
      <c r="AA5" s="83">
        <v>2</v>
      </c>
      <c r="AB5" s="83" t="s">
        <v>94</v>
      </c>
      <c r="AC5" s="83" t="s">
        <v>94</v>
      </c>
      <c r="AD5" s="83" t="s">
        <v>96</v>
      </c>
      <c r="AE5" s="83" t="s">
        <v>97</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3"/>
      <c r="AO5" s="83"/>
      <c r="AP5" s="90" t="s">
        <v>165</v>
      </c>
    </row>
    <row r="6" spans="1:42" x14ac:dyDescent="0.25">
      <c r="A6" s="84">
        <v>45163</v>
      </c>
      <c r="C6" s="83">
        <v>3700034</v>
      </c>
      <c r="D6" s="83" t="s">
        <v>115</v>
      </c>
      <c r="E6" s="85">
        <v>10</v>
      </c>
      <c r="F6" s="86">
        <v>518793.729136637</v>
      </c>
      <c r="G6" s="86">
        <v>6049041.4121688399</v>
      </c>
      <c r="H6" s="83" t="s">
        <v>123</v>
      </c>
      <c r="I6" s="85" t="s">
        <v>107</v>
      </c>
      <c r="J6" s="79"/>
      <c r="K6" s="10"/>
      <c r="L6" s="83" t="s">
        <v>92</v>
      </c>
      <c r="M6" s="83" t="s">
        <v>93</v>
      </c>
      <c r="N6" s="87">
        <v>0.7</v>
      </c>
      <c r="O6" s="87">
        <v>20</v>
      </c>
      <c r="P6" s="83" t="s">
        <v>95</v>
      </c>
      <c r="Q6" s="83">
        <v>0.37</v>
      </c>
      <c r="R6" s="83" t="s">
        <v>95</v>
      </c>
      <c r="S6" s="83" t="s">
        <v>95</v>
      </c>
      <c r="T6" s="83">
        <v>80</v>
      </c>
      <c r="U6" s="83">
        <v>0.5</v>
      </c>
      <c r="V6" s="83">
        <v>0</v>
      </c>
      <c r="W6" s="83">
        <v>0.5</v>
      </c>
      <c r="X6" s="83" t="s">
        <v>94</v>
      </c>
      <c r="Y6" s="83">
        <v>1</v>
      </c>
      <c r="Z6" s="83">
        <v>3.1</v>
      </c>
      <c r="AA6" s="83">
        <v>2</v>
      </c>
      <c r="AB6" s="83" t="s">
        <v>94</v>
      </c>
      <c r="AC6" s="83" t="s">
        <v>94</v>
      </c>
      <c r="AD6" s="83" t="s">
        <v>96</v>
      </c>
      <c r="AE6" s="83"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N6" s="83"/>
      <c r="AO6" s="83"/>
      <c r="AP6" s="90" t="s">
        <v>166</v>
      </c>
    </row>
    <row r="7" spans="1:42" x14ac:dyDescent="0.25">
      <c r="A7" s="84">
        <v>45163</v>
      </c>
      <c r="C7" s="83">
        <v>3700010</v>
      </c>
      <c r="D7" s="83" t="s">
        <v>115</v>
      </c>
      <c r="E7" s="85">
        <v>10</v>
      </c>
      <c r="F7" s="86">
        <v>519142.92694488302</v>
      </c>
      <c r="G7" s="86">
        <v>6053231.2557512</v>
      </c>
      <c r="H7" s="83" t="s">
        <v>232</v>
      </c>
      <c r="I7" s="85" t="s">
        <v>107</v>
      </c>
      <c r="J7" s="79"/>
      <c r="K7" s="10"/>
      <c r="L7" s="83" t="s">
        <v>92</v>
      </c>
      <c r="M7" s="83" t="s">
        <v>98</v>
      </c>
      <c r="N7" s="89">
        <v>3.5</v>
      </c>
      <c r="O7" s="89">
        <v>25</v>
      </c>
      <c r="P7" s="83" t="s">
        <v>95</v>
      </c>
      <c r="Q7" s="83">
        <v>0.6</v>
      </c>
      <c r="R7" s="83" t="s">
        <v>95</v>
      </c>
      <c r="S7" s="83" t="s">
        <v>95</v>
      </c>
      <c r="T7" s="83">
        <v>25</v>
      </c>
      <c r="U7" s="83">
        <v>2.5</v>
      </c>
      <c r="V7" s="83">
        <v>0</v>
      </c>
      <c r="W7" s="83">
        <v>4</v>
      </c>
      <c r="X7" s="83" t="s">
        <v>94</v>
      </c>
      <c r="Y7" s="83">
        <v>1</v>
      </c>
      <c r="Z7" s="83">
        <v>5.2</v>
      </c>
      <c r="AA7" s="83">
        <v>1</v>
      </c>
      <c r="AB7" s="83" t="s">
        <v>95</v>
      </c>
      <c r="AC7" s="83" t="s">
        <v>95</v>
      </c>
      <c r="AD7" s="83" t="s">
        <v>96</v>
      </c>
      <c r="AE7" s="83" t="s">
        <v>99</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83"/>
      <c r="AO7" s="83"/>
      <c r="AP7" s="83" t="s">
        <v>167</v>
      </c>
    </row>
    <row r="8" spans="1:42" x14ac:dyDescent="0.25">
      <c r="A8" s="84">
        <v>45163</v>
      </c>
      <c r="B8" s="80"/>
      <c r="C8" s="83">
        <v>3700015</v>
      </c>
      <c r="D8" s="83" t="s">
        <v>115</v>
      </c>
      <c r="E8" s="85">
        <v>10</v>
      </c>
      <c r="F8" s="86">
        <v>517177.12739613402</v>
      </c>
      <c r="G8" s="86">
        <v>6054489.5188607601</v>
      </c>
      <c r="H8" s="83" t="s">
        <v>123</v>
      </c>
      <c r="I8" s="85" t="s">
        <v>107</v>
      </c>
      <c r="J8" s="81"/>
      <c r="K8" s="82"/>
      <c r="L8" s="83" t="s">
        <v>92</v>
      </c>
      <c r="M8" s="83" t="s">
        <v>93</v>
      </c>
      <c r="N8" s="89">
        <v>0.6</v>
      </c>
      <c r="O8" s="89">
        <v>22</v>
      </c>
      <c r="P8" s="83" t="s">
        <v>94</v>
      </c>
      <c r="Q8" s="88"/>
      <c r="R8" s="83" t="s">
        <v>94</v>
      </c>
      <c r="S8" s="83" t="s">
        <v>94</v>
      </c>
      <c r="T8" s="88"/>
      <c r="U8" s="83">
        <v>2.5</v>
      </c>
      <c r="V8" s="83">
        <v>0.3</v>
      </c>
      <c r="W8" s="83">
        <v>0.1</v>
      </c>
      <c r="X8" s="83" t="s">
        <v>94</v>
      </c>
      <c r="Y8" s="83">
        <v>3</v>
      </c>
      <c r="Z8" s="83">
        <v>1.1000000000000001</v>
      </c>
      <c r="AA8" s="83">
        <v>4</v>
      </c>
      <c r="AB8" s="83" t="s">
        <v>94</v>
      </c>
      <c r="AC8" s="83" t="s">
        <v>94</v>
      </c>
      <c r="AD8" s="83" t="s">
        <v>96</v>
      </c>
      <c r="AE8" s="83"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83"/>
      <c r="AO8" s="83"/>
      <c r="AP8" s="83" t="s">
        <v>168</v>
      </c>
    </row>
    <row r="9" spans="1:42" x14ac:dyDescent="0.25">
      <c r="A9" s="84">
        <v>45163</v>
      </c>
      <c r="C9" s="83">
        <v>3701558</v>
      </c>
      <c r="D9" s="83" t="s">
        <v>115</v>
      </c>
      <c r="E9" s="85">
        <v>10</v>
      </c>
      <c r="F9" s="86">
        <v>513143.81074638502</v>
      </c>
      <c r="G9" s="86">
        <v>6067047.5373908402</v>
      </c>
      <c r="H9" s="90" t="s">
        <v>100</v>
      </c>
      <c r="I9" s="85" t="s">
        <v>107</v>
      </c>
      <c r="J9" s="79"/>
      <c r="K9" s="82"/>
      <c r="L9" s="83" t="s">
        <v>92</v>
      </c>
      <c r="M9" s="83" t="s">
        <v>101</v>
      </c>
      <c r="N9" s="89">
        <v>4.2</v>
      </c>
      <c r="O9" s="89">
        <v>26</v>
      </c>
      <c r="P9" s="83" t="s">
        <v>94</v>
      </c>
      <c r="Q9" s="88"/>
      <c r="R9" s="83" t="s">
        <v>94</v>
      </c>
      <c r="S9" s="83" t="s">
        <v>94</v>
      </c>
      <c r="T9" s="88"/>
      <c r="U9" s="83">
        <v>1.5</v>
      </c>
      <c r="V9" s="83">
        <v>0.3</v>
      </c>
      <c r="W9" s="83">
        <v>0.4</v>
      </c>
      <c r="X9" s="83" t="s">
        <v>94</v>
      </c>
      <c r="Y9" s="83">
        <v>0</v>
      </c>
      <c r="Z9" s="83">
        <v>3.5</v>
      </c>
      <c r="AA9" s="83">
        <v>1</v>
      </c>
      <c r="AB9" s="83" t="s">
        <v>94</v>
      </c>
      <c r="AC9" s="83" t="s">
        <v>95</v>
      </c>
      <c r="AD9" s="83" t="s">
        <v>96</v>
      </c>
      <c r="AE9" s="83" t="s">
        <v>102</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83"/>
      <c r="AO9" s="83"/>
      <c r="AP9" s="83" t="s">
        <v>169</v>
      </c>
    </row>
    <row r="10" spans="1:42" x14ac:dyDescent="0.25">
      <c r="A10" s="84">
        <v>45163</v>
      </c>
      <c r="C10" s="83">
        <v>3702598</v>
      </c>
      <c r="D10" s="83" t="s">
        <v>115</v>
      </c>
      <c r="E10" s="85">
        <v>10</v>
      </c>
      <c r="F10" s="86">
        <v>513534.47970618802</v>
      </c>
      <c r="G10" s="86">
        <v>6067127.51187874</v>
      </c>
      <c r="H10" s="90" t="s">
        <v>100</v>
      </c>
      <c r="I10" s="85" t="s">
        <v>103</v>
      </c>
      <c r="J10" s="79"/>
      <c r="K10" s="10"/>
      <c r="L10" s="83" t="s">
        <v>104</v>
      </c>
      <c r="N10" s="92"/>
      <c r="O10" s="92"/>
      <c r="P10" s="88"/>
      <c r="Q10" s="92"/>
      <c r="R10" s="88"/>
      <c r="S10" s="88"/>
      <c r="T10" s="92"/>
      <c r="U10" s="92"/>
      <c r="V10" s="88"/>
      <c r="W10" s="92"/>
      <c r="X10" s="88"/>
      <c r="Y10" s="92"/>
      <c r="Z10" s="92"/>
      <c r="AA10" s="88"/>
      <c r="AB10" s="83" t="s">
        <v>94</v>
      </c>
      <c r="AC10" s="83" t="s">
        <v>94</v>
      </c>
      <c r="AD10" s="88"/>
      <c r="AE10" s="88"/>
      <c r="AF10" s="20">
        <f t="shared" si="0"/>
        <v>0</v>
      </c>
      <c r="AG10" s="13">
        <f t="shared" si="1"/>
        <v>0</v>
      </c>
      <c r="AH10" s="7">
        <f t="shared" si="2"/>
        <v>0</v>
      </c>
      <c r="AI10" s="7">
        <f t="shared" si="3"/>
        <v>0</v>
      </c>
      <c r="AJ10" s="7">
        <f t="shared" si="4"/>
        <v>0</v>
      </c>
      <c r="AK10" s="7">
        <f t="shared" si="5"/>
        <v>0</v>
      </c>
      <c r="AL10" s="12">
        <f t="shared" si="6"/>
        <v>0</v>
      </c>
      <c r="AM10" s="14" t="str">
        <f t="shared" si="7"/>
        <v>Unknown</v>
      </c>
      <c r="AN10" s="88"/>
      <c r="AO10" s="92"/>
      <c r="AP10" s="83" t="s">
        <v>170</v>
      </c>
    </row>
    <row r="11" spans="1:42" x14ac:dyDescent="0.25">
      <c r="A11" s="84">
        <v>45163</v>
      </c>
      <c r="C11" s="90">
        <v>2200002</v>
      </c>
      <c r="D11" s="83" t="s">
        <v>125</v>
      </c>
      <c r="E11" s="83">
        <v>10</v>
      </c>
      <c r="F11" s="91">
        <v>497867.18890571699</v>
      </c>
      <c r="G11" s="91">
        <v>6093686.5585235199</v>
      </c>
      <c r="H11" s="90" t="s">
        <v>233</v>
      </c>
      <c r="I11" s="85" t="s">
        <v>107</v>
      </c>
      <c r="J11" s="79"/>
      <c r="K11" s="83" t="s">
        <v>105</v>
      </c>
      <c r="L11" s="83" t="s">
        <v>92</v>
      </c>
      <c r="M11" s="83" t="s">
        <v>93</v>
      </c>
      <c r="N11" s="89">
        <v>1.2</v>
      </c>
      <c r="O11" s="89">
        <v>60</v>
      </c>
      <c r="P11" s="83" t="s">
        <v>94</v>
      </c>
      <c r="Q11" s="92"/>
      <c r="R11" s="83" t="s">
        <v>94</v>
      </c>
      <c r="S11" s="83" t="s">
        <v>94</v>
      </c>
      <c r="T11" s="92"/>
      <c r="U11" s="89">
        <v>9</v>
      </c>
      <c r="V11" s="83">
        <v>0.65</v>
      </c>
      <c r="W11" s="89">
        <v>1</v>
      </c>
      <c r="X11" s="83" t="s">
        <v>94</v>
      </c>
      <c r="Y11" s="89">
        <v>0.5</v>
      </c>
      <c r="Z11" s="89">
        <v>3</v>
      </c>
      <c r="AA11" s="83">
        <v>0.5</v>
      </c>
      <c r="AB11" s="83" t="s">
        <v>94</v>
      </c>
      <c r="AC11" s="83" t="s">
        <v>94</v>
      </c>
      <c r="AD11" s="83" t="s">
        <v>96</v>
      </c>
      <c r="AE11" s="83" t="s">
        <v>99</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83"/>
      <c r="AO11" s="83"/>
      <c r="AP11" s="83" t="s">
        <v>171</v>
      </c>
    </row>
    <row r="12" spans="1:42" x14ac:dyDescent="0.25">
      <c r="A12" s="84">
        <v>45163</v>
      </c>
      <c r="C12" s="83">
        <v>2200779</v>
      </c>
      <c r="D12" s="83" t="s">
        <v>125</v>
      </c>
      <c r="E12" s="85">
        <v>10</v>
      </c>
      <c r="F12" s="86">
        <v>500614.78474495001</v>
      </c>
      <c r="G12" s="86">
        <v>6089785.7812857497</v>
      </c>
      <c r="H12" s="85" t="s">
        <v>106</v>
      </c>
      <c r="I12" s="85" t="s">
        <v>107</v>
      </c>
      <c r="J12" s="79"/>
      <c r="K12" s="85" t="s">
        <v>105</v>
      </c>
      <c r="L12" s="83" t="s">
        <v>92</v>
      </c>
      <c r="M12" s="83" t="s">
        <v>93</v>
      </c>
      <c r="N12" s="89">
        <v>2.5</v>
      </c>
      <c r="O12" s="89">
        <v>34</v>
      </c>
      <c r="P12" s="83" t="s">
        <v>94</v>
      </c>
      <c r="Q12" s="88"/>
      <c r="R12" s="83" t="s">
        <v>94</v>
      </c>
      <c r="S12" s="83" t="s">
        <v>94</v>
      </c>
      <c r="T12" s="92"/>
      <c r="U12" s="89">
        <v>2</v>
      </c>
      <c r="V12" s="83">
        <v>0</v>
      </c>
      <c r="W12" s="89">
        <v>1</v>
      </c>
      <c r="X12" s="83" t="s">
        <v>95</v>
      </c>
      <c r="Y12" s="89">
        <v>0.5</v>
      </c>
      <c r="Z12" s="89">
        <v>4</v>
      </c>
      <c r="AA12" s="83">
        <v>0.5</v>
      </c>
      <c r="AB12" s="83" t="s">
        <v>95</v>
      </c>
      <c r="AC12" s="83" t="s">
        <v>94</v>
      </c>
      <c r="AD12" s="83" t="s">
        <v>96</v>
      </c>
      <c r="AE12" s="83" t="s">
        <v>99</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83"/>
      <c r="AO12" s="89"/>
      <c r="AP12" s="83" t="s">
        <v>172</v>
      </c>
    </row>
    <row r="13" spans="1:42" ht="30" x14ac:dyDescent="0.25">
      <c r="A13" s="84">
        <v>45163</v>
      </c>
      <c r="C13" s="83">
        <v>2200604</v>
      </c>
      <c r="D13" s="83" t="s">
        <v>125</v>
      </c>
      <c r="E13" s="85">
        <v>10</v>
      </c>
      <c r="F13" s="86">
        <v>502003.22196936898</v>
      </c>
      <c r="G13" s="86">
        <v>6087766.4907146497</v>
      </c>
      <c r="H13" s="85" t="s">
        <v>154</v>
      </c>
      <c r="I13" s="85" t="s">
        <v>107</v>
      </c>
      <c r="K13" s="85" t="s">
        <v>108</v>
      </c>
      <c r="L13" s="83" t="s">
        <v>92</v>
      </c>
      <c r="M13" s="83" t="s">
        <v>93</v>
      </c>
      <c r="N13" s="89">
        <v>1.2</v>
      </c>
      <c r="O13" s="89">
        <v>50</v>
      </c>
      <c r="P13" s="83" t="s">
        <v>94</v>
      </c>
      <c r="Q13" s="88"/>
      <c r="R13" s="83" t="s">
        <v>94</v>
      </c>
      <c r="S13" s="83" t="s">
        <v>94</v>
      </c>
      <c r="T13" s="88"/>
      <c r="U13" s="89">
        <v>6</v>
      </c>
      <c r="V13" s="83">
        <v>0.8</v>
      </c>
      <c r="W13" s="89">
        <v>0.6</v>
      </c>
      <c r="X13" s="83" t="s">
        <v>95</v>
      </c>
      <c r="Y13" s="89">
        <v>1</v>
      </c>
      <c r="Z13" s="89">
        <v>1.9</v>
      </c>
      <c r="AA13" s="83">
        <v>3</v>
      </c>
      <c r="AB13" s="83" t="s">
        <v>95</v>
      </c>
      <c r="AC13" s="83" t="s">
        <v>94</v>
      </c>
      <c r="AD13" s="83" t="s">
        <v>96</v>
      </c>
      <c r="AE13" s="83" t="s">
        <v>99</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83"/>
      <c r="AO13" s="89"/>
      <c r="AP13" s="83" t="s">
        <v>173</v>
      </c>
    </row>
    <row r="14" spans="1:42" ht="30" x14ac:dyDescent="0.25">
      <c r="A14" s="84">
        <v>45163</v>
      </c>
      <c r="C14" s="83">
        <v>2200026</v>
      </c>
      <c r="D14" s="83" t="s">
        <v>125</v>
      </c>
      <c r="E14" s="85">
        <v>10</v>
      </c>
      <c r="F14" s="86">
        <v>503356.41788658203</v>
      </c>
      <c r="G14" s="86">
        <v>6085973.8731182097</v>
      </c>
      <c r="H14" s="85" t="s">
        <v>243</v>
      </c>
      <c r="I14" s="85" t="s">
        <v>107</v>
      </c>
      <c r="K14" s="85" t="s">
        <v>108</v>
      </c>
      <c r="L14" s="83" t="s">
        <v>92</v>
      </c>
      <c r="M14" s="83" t="s">
        <v>93</v>
      </c>
      <c r="N14" s="89">
        <v>0.9</v>
      </c>
      <c r="O14" s="89">
        <v>40</v>
      </c>
      <c r="P14" s="83" t="s">
        <v>94</v>
      </c>
      <c r="Q14" s="88"/>
      <c r="R14" s="83" t="s">
        <v>94</v>
      </c>
      <c r="S14" s="83" t="s">
        <v>94</v>
      </c>
      <c r="T14" s="88"/>
      <c r="U14" s="89">
        <v>5</v>
      </c>
      <c r="V14" s="83">
        <v>0.4</v>
      </c>
      <c r="W14" s="89">
        <v>1.3</v>
      </c>
      <c r="X14" s="83" t="s">
        <v>94</v>
      </c>
      <c r="Y14" s="89">
        <v>3</v>
      </c>
      <c r="Z14" s="89">
        <v>3.3</v>
      </c>
      <c r="AA14" s="83">
        <v>4</v>
      </c>
      <c r="AB14" s="83" t="s">
        <v>95</v>
      </c>
      <c r="AC14" s="83" t="s">
        <v>94</v>
      </c>
      <c r="AD14" s="83" t="s">
        <v>96</v>
      </c>
      <c r="AE14" s="83" t="s">
        <v>99</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83"/>
      <c r="AO14" s="89"/>
      <c r="AP14" s="83" t="s">
        <v>174</v>
      </c>
    </row>
    <row r="15" spans="1:42" x14ac:dyDescent="0.25">
      <c r="A15" s="84">
        <v>45163</v>
      </c>
      <c r="C15" s="83">
        <v>2200119</v>
      </c>
      <c r="D15" s="83" t="s">
        <v>125</v>
      </c>
      <c r="E15" s="85">
        <v>10</v>
      </c>
      <c r="F15" s="86">
        <v>503934.25831870502</v>
      </c>
      <c r="G15" s="86">
        <v>6084297.1236128798</v>
      </c>
      <c r="H15" s="85" t="s">
        <v>109</v>
      </c>
      <c r="I15" s="85" t="s">
        <v>110</v>
      </c>
      <c r="K15" s="85" t="s">
        <v>111</v>
      </c>
      <c r="L15" s="83" t="s">
        <v>112</v>
      </c>
      <c r="M15" s="83" t="s">
        <v>113</v>
      </c>
      <c r="N15" s="89">
        <v>6</v>
      </c>
      <c r="O15" s="89">
        <v>7.5</v>
      </c>
      <c r="P15" s="88"/>
      <c r="Q15" s="88"/>
      <c r="R15" s="88"/>
      <c r="S15" s="88"/>
      <c r="T15" s="92"/>
      <c r="U15" s="92"/>
      <c r="V15" s="88"/>
      <c r="W15" s="92"/>
      <c r="X15" s="88"/>
      <c r="Y15" s="92"/>
      <c r="Z15" s="92"/>
      <c r="AA15" s="88"/>
      <c r="AB15" s="83" t="s">
        <v>94</v>
      </c>
      <c r="AC15" s="83" t="s">
        <v>94</v>
      </c>
      <c r="AD15" s="88"/>
      <c r="AE15" s="88"/>
      <c r="AF15" s="20">
        <f t="shared" si="8"/>
        <v>0</v>
      </c>
      <c r="AG15" s="13">
        <f t="shared" si="1"/>
        <v>0</v>
      </c>
      <c r="AH15" s="7">
        <f t="shared" si="2"/>
        <v>0</v>
      </c>
      <c r="AI15" s="7">
        <f t="shared" si="3"/>
        <v>0</v>
      </c>
      <c r="AJ15" s="7">
        <f t="shared" si="4"/>
        <v>0</v>
      </c>
      <c r="AK15" s="7">
        <f t="shared" si="5"/>
        <v>0</v>
      </c>
      <c r="AL15" s="12">
        <f t="shared" si="9"/>
        <v>0</v>
      </c>
      <c r="AM15" s="14" t="str">
        <f t="shared" si="7"/>
        <v>Passable</v>
      </c>
      <c r="AN15" s="88"/>
      <c r="AO15" s="92"/>
      <c r="AP15" s="83" t="s">
        <v>175</v>
      </c>
    </row>
    <row r="16" spans="1:42" x14ac:dyDescent="0.25">
      <c r="A16" s="84">
        <v>45163</v>
      </c>
      <c r="C16" s="83">
        <v>2200114</v>
      </c>
      <c r="D16" s="83" t="s">
        <v>125</v>
      </c>
      <c r="E16" s="85">
        <v>10</v>
      </c>
      <c r="F16" s="86">
        <v>503758.421631723</v>
      </c>
      <c r="G16" s="86">
        <v>6084286.4836672395</v>
      </c>
      <c r="H16" s="85" t="s">
        <v>109</v>
      </c>
      <c r="I16" s="85" t="s">
        <v>244</v>
      </c>
      <c r="K16" s="85" t="s">
        <v>114</v>
      </c>
      <c r="L16" s="83" t="s">
        <v>112</v>
      </c>
      <c r="M16" s="83" t="s">
        <v>113</v>
      </c>
      <c r="N16" s="89">
        <v>6</v>
      </c>
      <c r="O16" s="89">
        <v>7</v>
      </c>
      <c r="P16" s="88"/>
      <c r="Q16" s="88"/>
      <c r="R16" s="88"/>
      <c r="S16" s="88"/>
      <c r="T16" s="92"/>
      <c r="U16" s="92"/>
      <c r="V16" s="88"/>
      <c r="W16" s="92"/>
      <c r="X16" s="88"/>
      <c r="Y16" s="92"/>
      <c r="Z16" s="92"/>
      <c r="AA16" s="88"/>
      <c r="AB16" s="83" t="s">
        <v>94</v>
      </c>
      <c r="AC16" s="83" t="s">
        <v>94</v>
      </c>
      <c r="AD16" s="88"/>
      <c r="AE16" s="88"/>
      <c r="AF16" s="20">
        <f t="shared" si="8"/>
        <v>0</v>
      </c>
      <c r="AG16" s="13">
        <f t="shared" si="1"/>
        <v>0</v>
      </c>
      <c r="AH16" s="7">
        <f t="shared" si="2"/>
        <v>0</v>
      </c>
      <c r="AI16" s="7">
        <f t="shared" si="3"/>
        <v>0</v>
      </c>
      <c r="AJ16" s="7">
        <f t="shared" si="4"/>
        <v>0</v>
      </c>
      <c r="AK16" s="7">
        <f t="shared" si="5"/>
        <v>0</v>
      </c>
      <c r="AL16" s="12">
        <f t="shared" si="9"/>
        <v>0</v>
      </c>
      <c r="AM16" s="14" t="str">
        <f t="shared" si="7"/>
        <v>Passable</v>
      </c>
      <c r="AN16" s="88"/>
      <c r="AO16" s="92"/>
      <c r="AP16" s="83" t="s">
        <v>176</v>
      </c>
    </row>
    <row r="17" spans="1:42" x14ac:dyDescent="0.25">
      <c r="A17" s="84">
        <v>45163</v>
      </c>
      <c r="C17" s="83">
        <v>2200014</v>
      </c>
      <c r="D17" s="83" t="s">
        <v>125</v>
      </c>
      <c r="E17" s="85">
        <v>10</v>
      </c>
      <c r="F17" s="86">
        <v>504410.83121207799</v>
      </c>
      <c r="G17" s="86">
        <v>6084420.2117169602</v>
      </c>
      <c r="H17" s="85" t="s">
        <v>109</v>
      </c>
      <c r="I17" s="85" t="s">
        <v>107</v>
      </c>
      <c r="K17" s="85" t="s">
        <v>108</v>
      </c>
      <c r="L17" s="83" t="s">
        <v>92</v>
      </c>
      <c r="M17" s="83" t="s">
        <v>93</v>
      </c>
      <c r="N17" s="89">
        <v>2.5</v>
      </c>
      <c r="O17" s="89">
        <v>35</v>
      </c>
      <c r="P17" s="83" t="s">
        <v>94</v>
      </c>
      <c r="Q17" s="92"/>
      <c r="R17" s="83" t="s">
        <v>94</v>
      </c>
      <c r="S17" s="83" t="s">
        <v>94</v>
      </c>
      <c r="T17" s="88"/>
      <c r="U17" s="89">
        <v>5</v>
      </c>
      <c r="V17" s="83">
        <v>0</v>
      </c>
      <c r="W17" s="89">
        <v>1.5</v>
      </c>
      <c r="X17" s="83" t="s">
        <v>94</v>
      </c>
      <c r="Y17" s="89">
        <v>2</v>
      </c>
      <c r="Z17" s="89">
        <v>7</v>
      </c>
      <c r="AA17" s="83">
        <v>0</v>
      </c>
      <c r="AB17" s="83" t="s">
        <v>95</v>
      </c>
      <c r="AC17" s="83" t="s">
        <v>95</v>
      </c>
      <c r="AD17" s="83" t="s">
        <v>96</v>
      </c>
      <c r="AE17" s="83" t="s">
        <v>99</v>
      </c>
      <c r="AF17" s="20">
        <f t="shared" si="8"/>
        <v>2.8</v>
      </c>
      <c r="AG17" s="13">
        <f t="shared" si="1"/>
        <v>6</v>
      </c>
      <c r="AH17" s="7">
        <f t="shared" si="2"/>
        <v>10</v>
      </c>
      <c r="AI17" s="7">
        <f t="shared" si="3"/>
        <v>0</v>
      </c>
      <c r="AJ17" s="7">
        <f t="shared" si="4"/>
        <v>5</v>
      </c>
      <c r="AK17" s="7">
        <f t="shared" si="5"/>
        <v>6</v>
      </c>
      <c r="AL17" s="12">
        <f t="shared" si="9"/>
        <v>27</v>
      </c>
      <c r="AM17" s="14" t="str">
        <f t="shared" si="7"/>
        <v>Barrier</v>
      </c>
      <c r="AN17" s="83"/>
      <c r="AO17" s="89"/>
      <c r="AP17" s="83" t="s">
        <v>177</v>
      </c>
    </row>
    <row r="18" spans="1:42" x14ac:dyDescent="0.25">
      <c r="A18" s="84">
        <v>45164</v>
      </c>
      <c r="C18" s="83">
        <v>3702044</v>
      </c>
      <c r="D18" s="83" t="s">
        <v>115</v>
      </c>
      <c r="E18" s="85">
        <v>10</v>
      </c>
      <c r="F18" s="86">
        <v>524200.20420063898</v>
      </c>
      <c r="G18" s="86">
        <v>6015297.5099070696</v>
      </c>
      <c r="H18" s="85" t="s">
        <v>116</v>
      </c>
      <c r="I18" s="85" t="s">
        <v>107</v>
      </c>
      <c r="L18" s="83" t="s">
        <v>92</v>
      </c>
      <c r="M18" s="83" t="s">
        <v>93</v>
      </c>
      <c r="N18" s="89">
        <v>1.2</v>
      </c>
      <c r="O18" s="89">
        <v>30</v>
      </c>
      <c r="P18" s="83" t="s">
        <v>95</v>
      </c>
      <c r="Q18" s="83">
        <v>0.9</v>
      </c>
      <c r="R18" s="83" t="s">
        <v>95</v>
      </c>
      <c r="S18" s="83" t="s">
        <v>95</v>
      </c>
      <c r="T18" s="89">
        <v>100</v>
      </c>
      <c r="U18" s="89">
        <v>5</v>
      </c>
      <c r="V18" s="83">
        <v>0</v>
      </c>
      <c r="W18" s="89">
        <v>1.6</v>
      </c>
      <c r="X18" s="83" t="s">
        <v>94</v>
      </c>
      <c r="Y18" s="89">
        <v>2</v>
      </c>
      <c r="Z18" s="89">
        <v>2.1</v>
      </c>
      <c r="AA18" s="83">
        <v>2</v>
      </c>
      <c r="AB18" s="83" t="s">
        <v>95</v>
      </c>
      <c r="AC18" s="83" t="s">
        <v>94</v>
      </c>
      <c r="AD18" s="83" t="s">
        <v>96</v>
      </c>
      <c r="AE18" s="83"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83"/>
      <c r="AO18" s="89"/>
      <c r="AP18" s="83" t="s">
        <v>178</v>
      </c>
    </row>
    <row r="19" spans="1:42" x14ac:dyDescent="0.25">
      <c r="A19" s="84">
        <v>45164</v>
      </c>
      <c r="C19" s="83">
        <v>3701553</v>
      </c>
      <c r="D19" s="83" t="s">
        <v>115</v>
      </c>
      <c r="E19" s="85">
        <v>10</v>
      </c>
      <c r="F19" s="86">
        <v>524034.67653235397</v>
      </c>
      <c r="G19" s="86">
        <v>6015621.2725865096</v>
      </c>
      <c r="H19" s="85" t="s">
        <v>116</v>
      </c>
      <c r="I19" s="85" t="s">
        <v>117</v>
      </c>
      <c r="J19" s="79"/>
      <c r="L19" s="83" t="s">
        <v>92</v>
      </c>
      <c r="M19" s="83" t="s">
        <v>93</v>
      </c>
      <c r="N19" s="89">
        <v>0.8</v>
      </c>
      <c r="O19" s="89">
        <v>12</v>
      </c>
      <c r="P19" s="83" t="s">
        <v>94</v>
      </c>
      <c r="Q19" s="88"/>
      <c r="R19" s="83" t="s">
        <v>94</v>
      </c>
      <c r="S19" s="83" t="s">
        <v>95</v>
      </c>
      <c r="T19" s="89">
        <v>80</v>
      </c>
      <c r="U19" s="89">
        <v>1.5</v>
      </c>
      <c r="V19" s="83">
        <v>0</v>
      </c>
      <c r="W19" s="89">
        <v>0.6</v>
      </c>
      <c r="X19" s="83" t="s">
        <v>94</v>
      </c>
      <c r="Y19" s="89">
        <v>2.5</v>
      </c>
      <c r="Z19" s="89">
        <v>2.4</v>
      </c>
      <c r="AA19" s="83">
        <v>2</v>
      </c>
      <c r="AB19" s="83" t="s">
        <v>94</v>
      </c>
      <c r="AC19" s="83" t="s">
        <v>94</v>
      </c>
      <c r="AD19" s="83" t="s">
        <v>96</v>
      </c>
      <c r="AE19" s="83"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83"/>
      <c r="AO19" s="89"/>
      <c r="AP19" s="83" t="s">
        <v>179</v>
      </c>
    </row>
    <row r="20" spans="1:42" x14ac:dyDescent="0.25">
      <c r="A20" s="84">
        <v>45164</v>
      </c>
      <c r="C20" s="83">
        <v>3701554</v>
      </c>
      <c r="D20" s="83" t="s">
        <v>115</v>
      </c>
      <c r="E20" s="85">
        <v>10</v>
      </c>
      <c r="F20" s="86">
        <v>524471.68800373096</v>
      </c>
      <c r="G20" s="86">
        <v>6017849.9305311898</v>
      </c>
      <c r="H20" s="83" t="s">
        <v>118</v>
      </c>
      <c r="I20" s="85" t="s">
        <v>107</v>
      </c>
      <c r="J20" s="79"/>
      <c r="L20" s="83" t="s">
        <v>92</v>
      </c>
      <c r="M20" s="83" t="s">
        <v>93</v>
      </c>
      <c r="N20" s="89">
        <v>1.9</v>
      </c>
      <c r="O20" s="89">
        <v>26</v>
      </c>
      <c r="P20" s="83" t="s">
        <v>94</v>
      </c>
      <c r="Q20" s="88"/>
      <c r="R20" s="83" t="s">
        <v>94</v>
      </c>
      <c r="S20" s="83" t="s">
        <v>95</v>
      </c>
      <c r="T20" s="83">
        <v>100</v>
      </c>
      <c r="U20" s="83">
        <v>3</v>
      </c>
      <c r="V20" s="83">
        <v>0</v>
      </c>
      <c r="W20" s="83">
        <v>0.8</v>
      </c>
      <c r="X20" s="83" t="s">
        <v>94</v>
      </c>
      <c r="Y20" s="83">
        <v>4</v>
      </c>
      <c r="Z20" s="83">
        <v>1.9</v>
      </c>
      <c r="AA20" s="83">
        <v>1.5</v>
      </c>
      <c r="AB20" s="83" t="s">
        <v>95</v>
      </c>
      <c r="AC20" s="83" t="s">
        <v>94</v>
      </c>
      <c r="AD20" s="83" t="s">
        <v>96</v>
      </c>
      <c r="AE20" s="83" t="s">
        <v>99</v>
      </c>
      <c r="AF20" s="20">
        <f t="shared" si="8"/>
        <v>1</v>
      </c>
      <c r="AG20" s="13">
        <f t="shared" si="1"/>
        <v>3</v>
      </c>
      <c r="AH20" s="7">
        <f t="shared" si="2"/>
        <v>10</v>
      </c>
      <c r="AI20" s="7">
        <f t="shared" si="3"/>
        <v>0</v>
      </c>
      <c r="AJ20" s="7">
        <f t="shared" si="4"/>
        <v>10</v>
      </c>
      <c r="AK20" s="7">
        <f t="shared" si="5"/>
        <v>3</v>
      </c>
      <c r="AL20" s="12">
        <f t="shared" si="9"/>
        <v>26</v>
      </c>
      <c r="AM20" s="14" t="str">
        <f t="shared" si="7"/>
        <v>Barrier</v>
      </c>
      <c r="AN20" s="83"/>
      <c r="AO20" s="83"/>
      <c r="AP20" s="83" t="s">
        <v>180</v>
      </c>
    </row>
    <row r="21" spans="1:42" x14ac:dyDescent="0.25">
      <c r="A21" s="84">
        <v>45164</v>
      </c>
      <c r="C21" s="83">
        <v>3702078</v>
      </c>
      <c r="D21" s="83" t="s">
        <v>115</v>
      </c>
      <c r="E21" s="83">
        <v>10</v>
      </c>
      <c r="F21" s="89">
        <v>522732.51923286699</v>
      </c>
      <c r="G21" s="89">
        <v>6018668.0588053204</v>
      </c>
      <c r="H21" s="83" t="s">
        <v>119</v>
      </c>
      <c r="I21" s="83" t="s">
        <v>120</v>
      </c>
      <c r="J21" s="79"/>
      <c r="K21" s="10"/>
      <c r="L21" s="83" t="s">
        <v>112</v>
      </c>
      <c r="M21" s="83" t="s">
        <v>113</v>
      </c>
      <c r="N21" s="89">
        <v>15</v>
      </c>
      <c r="O21" s="89">
        <v>3</v>
      </c>
      <c r="P21" s="88"/>
      <c r="Q21" s="92"/>
      <c r="R21" s="88"/>
      <c r="S21" s="88"/>
      <c r="T21" s="92"/>
      <c r="U21" s="92"/>
      <c r="V21" s="88"/>
      <c r="W21" s="92"/>
      <c r="X21" s="88"/>
      <c r="Y21" s="92"/>
      <c r="Z21" s="92"/>
      <c r="AA21" s="88"/>
      <c r="AB21" s="83" t="s">
        <v>94</v>
      </c>
      <c r="AC21" s="83" t="s">
        <v>94</v>
      </c>
      <c r="AD21" s="88"/>
      <c r="AE21" s="88"/>
      <c r="AF21" s="20">
        <f t="shared" si="8"/>
        <v>0</v>
      </c>
      <c r="AG21" s="13">
        <f t="shared" si="1"/>
        <v>0</v>
      </c>
      <c r="AH21" s="7">
        <f t="shared" si="2"/>
        <v>0</v>
      </c>
      <c r="AI21" s="7">
        <f t="shared" si="3"/>
        <v>0</v>
      </c>
      <c r="AJ21" s="7">
        <f t="shared" si="4"/>
        <v>0</v>
      </c>
      <c r="AK21" s="7">
        <f t="shared" si="5"/>
        <v>0</v>
      </c>
      <c r="AL21" s="12">
        <f t="shared" si="9"/>
        <v>0</v>
      </c>
      <c r="AM21" s="14" t="str">
        <f t="shared" si="7"/>
        <v>Passable</v>
      </c>
      <c r="AN21" s="88"/>
      <c r="AO21" s="92"/>
    </row>
    <row r="22" spans="1:42" x14ac:dyDescent="0.25">
      <c r="A22" s="84">
        <v>45164</v>
      </c>
      <c r="C22" s="83">
        <v>3702075</v>
      </c>
      <c r="D22" s="83" t="s">
        <v>115</v>
      </c>
      <c r="E22" s="85">
        <v>10</v>
      </c>
      <c r="F22" s="86">
        <v>522184.67275198601</v>
      </c>
      <c r="G22" s="86">
        <v>6020097.0437834105</v>
      </c>
      <c r="H22" s="85" t="s">
        <v>121</v>
      </c>
      <c r="I22" s="85" t="s">
        <v>120</v>
      </c>
      <c r="L22" s="83" t="s">
        <v>92</v>
      </c>
      <c r="M22" s="83" t="s">
        <v>93</v>
      </c>
      <c r="N22" s="89">
        <v>0.8</v>
      </c>
      <c r="O22" s="89">
        <v>12</v>
      </c>
      <c r="P22" s="83" t="s">
        <v>94</v>
      </c>
      <c r="Q22" s="92"/>
      <c r="R22" s="83" t="s">
        <v>94</v>
      </c>
      <c r="S22" s="83" t="s">
        <v>95</v>
      </c>
      <c r="T22" s="89">
        <v>50</v>
      </c>
      <c r="U22" s="89">
        <v>0.3</v>
      </c>
      <c r="V22" s="83">
        <v>0.2</v>
      </c>
      <c r="W22" s="89">
        <v>0.3</v>
      </c>
      <c r="X22" s="83" t="s">
        <v>94</v>
      </c>
      <c r="Y22" s="89">
        <v>0</v>
      </c>
      <c r="Z22" s="89">
        <v>2</v>
      </c>
      <c r="AA22" s="83">
        <v>2</v>
      </c>
      <c r="AB22" s="83" t="s">
        <v>94</v>
      </c>
      <c r="AC22" s="83" t="s">
        <v>94</v>
      </c>
      <c r="AD22" s="83" t="s">
        <v>96</v>
      </c>
      <c r="AE22" s="83" t="s">
        <v>99</v>
      </c>
      <c r="AF22" s="20">
        <f t="shared" si="8"/>
        <v>2.5</v>
      </c>
      <c r="AG22" s="13">
        <f t="shared" si="1"/>
        <v>0</v>
      </c>
      <c r="AH22" s="7">
        <f t="shared" si="2"/>
        <v>10</v>
      </c>
      <c r="AI22" s="7">
        <f t="shared" si="3"/>
        <v>5</v>
      </c>
      <c r="AJ22" s="7">
        <f t="shared" si="4"/>
        <v>0</v>
      </c>
      <c r="AK22" s="7">
        <f t="shared" si="5"/>
        <v>6</v>
      </c>
      <c r="AL22" s="12">
        <f t="shared" si="9"/>
        <v>21</v>
      </c>
      <c r="AM22" s="14" t="str">
        <f t="shared" si="7"/>
        <v>Barrier</v>
      </c>
      <c r="AN22" s="83"/>
      <c r="AO22" s="89"/>
      <c r="AP22" s="83" t="s">
        <v>181</v>
      </c>
    </row>
    <row r="23" spans="1:42" x14ac:dyDescent="0.25">
      <c r="A23" s="84">
        <v>45164</v>
      </c>
      <c r="C23" s="83">
        <v>3700005</v>
      </c>
      <c r="D23" s="83" t="s">
        <v>115</v>
      </c>
      <c r="E23" s="85">
        <v>10</v>
      </c>
      <c r="F23" s="86">
        <v>522683.92219934898</v>
      </c>
      <c r="G23" s="86">
        <v>6022233.0128139397</v>
      </c>
      <c r="H23" s="85" t="s">
        <v>121</v>
      </c>
      <c r="I23" s="85" t="s">
        <v>107</v>
      </c>
      <c r="L23" s="83" t="s">
        <v>92</v>
      </c>
      <c r="M23" s="83" t="s">
        <v>93</v>
      </c>
      <c r="N23" s="89">
        <v>0.75</v>
      </c>
      <c r="O23" s="89">
        <v>23</v>
      </c>
      <c r="P23" s="83" t="s">
        <v>94</v>
      </c>
      <c r="Q23" s="92"/>
      <c r="R23" s="83" t="s">
        <v>94</v>
      </c>
      <c r="S23" s="83" t="s">
        <v>94</v>
      </c>
      <c r="T23" s="92"/>
      <c r="U23" s="89">
        <v>1</v>
      </c>
      <c r="V23" s="83">
        <v>0</v>
      </c>
      <c r="W23" s="89">
        <v>0</v>
      </c>
      <c r="X23" s="83" t="s">
        <v>94</v>
      </c>
      <c r="Y23" s="89">
        <v>4</v>
      </c>
      <c r="Z23" s="89">
        <v>2.2999999999999998</v>
      </c>
      <c r="AA23" s="83">
        <v>2</v>
      </c>
      <c r="AB23" s="83" t="s">
        <v>94</v>
      </c>
      <c r="AC23" s="83" t="s">
        <v>94</v>
      </c>
      <c r="AD23" s="83" t="s">
        <v>96</v>
      </c>
      <c r="AE23" s="83"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83"/>
      <c r="AO23" s="89"/>
      <c r="AP23" s="83" t="s">
        <v>182</v>
      </c>
    </row>
    <row r="24" spans="1:42" x14ac:dyDescent="0.25">
      <c r="A24" s="84">
        <v>45164</v>
      </c>
      <c r="C24" s="83">
        <v>3703410</v>
      </c>
      <c r="D24" s="83" t="s">
        <v>115</v>
      </c>
      <c r="E24" s="85">
        <v>10</v>
      </c>
      <c r="F24" s="86">
        <v>522653.56417326903</v>
      </c>
      <c r="G24" s="86">
        <v>6022232.4530630196</v>
      </c>
      <c r="H24" s="85" t="s">
        <v>121</v>
      </c>
      <c r="I24" s="85" t="s">
        <v>122</v>
      </c>
      <c r="L24" s="83" t="s">
        <v>92</v>
      </c>
      <c r="M24" s="83" t="s">
        <v>93</v>
      </c>
      <c r="N24" s="89">
        <v>0.6</v>
      </c>
      <c r="O24" s="89">
        <v>17</v>
      </c>
      <c r="P24" s="83" t="s">
        <v>94</v>
      </c>
      <c r="Q24" s="92"/>
      <c r="R24" s="83" t="s">
        <v>94</v>
      </c>
      <c r="S24" s="83" t="s">
        <v>94</v>
      </c>
      <c r="T24" s="92"/>
      <c r="U24" s="89">
        <v>2</v>
      </c>
      <c r="V24" s="83">
        <v>0.1</v>
      </c>
      <c r="W24" s="89">
        <v>0.4</v>
      </c>
      <c r="X24" s="83" t="s">
        <v>94</v>
      </c>
      <c r="Y24" s="89">
        <v>1</v>
      </c>
      <c r="Z24" s="89">
        <v>1.9</v>
      </c>
      <c r="AA24" s="83">
        <v>1.5</v>
      </c>
      <c r="AB24" s="83" t="s">
        <v>94</v>
      </c>
      <c r="AC24" s="83" t="s">
        <v>94</v>
      </c>
      <c r="AD24" s="83" t="s">
        <v>96</v>
      </c>
      <c r="AE24" s="83"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83"/>
      <c r="AO24" s="89"/>
      <c r="AP24" s="83" t="s">
        <v>183</v>
      </c>
    </row>
    <row r="25" spans="1:42" x14ac:dyDescent="0.25">
      <c r="A25" s="84">
        <v>45164</v>
      </c>
      <c r="C25" s="83">
        <v>3700003</v>
      </c>
      <c r="D25" s="83" t="s">
        <v>115</v>
      </c>
      <c r="E25" s="85">
        <v>10</v>
      </c>
      <c r="F25" s="86">
        <v>523141.36331167398</v>
      </c>
      <c r="G25" s="86">
        <v>6019902.8850418599</v>
      </c>
      <c r="H25" s="85" t="s">
        <v>119</v>
      </c>
      <c r="I25" s="85" t="s">
        <v>107</v>
      </c>
      <c r="L25" s="83" t="s">
        <v>92</v>
      </c>
      <c r="M25" s="83" t="s">
        <v>93</v>
      </c>
      <c r="N25" s="89">
        <v>1.1000000000000001</v>
      </c>
      <c r="O25" s="89">
        <v>26</v>
      </c>
      <c r="P25" s="83" t="s">
        <v>95</v>
      </c>
      <c r="Q25" s="89">
        <v>0.6</v>
      </c>
      <c r="R25" s="83" t="s">
        <v>95</v>
      </c>
      <c r="S25" s="83" t="s">
        <v>95</v>
      </c>
      <c r="T25" s="89">
        <v>100</v>
      </c>
      <c r="U25" s="89">
        <v>3.5</v>
      </c>
      <c r="V25" s="83">
        <v>0</v>
      </c>
      <c r="W25" s="89">
        <v>0.6</v>
      </c>
      <c r="X25" s="83" t="s">
        <v>94</v>
      </c>
      <c r="Y25" s="89">
        <v>1.5</v>
      </c>
      <c r="Z25" s="89">
        <v>2.2999999999999998</v>
      </c>
      <c r="AA25" s="83">
        <v>1.5</v>
      </c>
      <c r="AB25" s="83" t="s">
        <v>94</v>
      </c>
      <c r="AC25" s="83" t="s">
        <v>94</v>
      </c>
      <c r="AD25" s="83" t="s">
        <v>96</v>
      </c>
      <c r="AE25" s="83"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N25" s="83"/>
      <c r="AO25" s="89"/>
      <c r="AP25" s="83" t="s">
        <v>184</v>
      </c>
    </row>
    <row r="26" spans="1:42" ht="30" x14ac:dyDescent="0.25">
      <c r="A26" s="84">
        <v>45164</v>
      </c>
      <c r="C26" s="83">
        <v>3703324</v>
      </c>
      <c r="D26" s="83" t="s">
        <v>115</v>
      </c>
      <c r="E26" s="85">
        <v>10</v>
      </c>
      <c r="F26" s="86">
        <v>519257.54505712399</v>
      </c>
      <c r="G26" s="86">
        <v>6038651.1625280902</v>
      </c>
      <c r="H26" s="85" t="s">
        <v>123</v>
      </c>
      <c r="I26" s="85" t="s">
        <v>124</v>
      </c>
      <c r="L26" s="83" t="s">
        <v>112</v>
      </c>
      <c r="M26" s="83" t="s">
        <v>113</v>
      </c>
      <c r="N26" s="89">
        <v>3.5</v>
      </c>
      <c r="O26" s="89">
        <v>7</v>
      </c>
      <c r="P26" s="88"/>
      <c r="Q26" s="92"/>
      <c r="R26" s="88"/>
      <c r="S26" s="88"/>
      <c r="T26" s="92"/>
      <c r="U26" s="92"/>
      <c r="V26" s="88"/>
      <c r="W26" s="92"/>
      <c r="X26" s="88"/>
      <c r="Y26" s="92"/>
      <c r="Z26" s="92"/>
      <c r="AA26" s="88"/>
      <c r="AB26" s="83" t="s">
        <v>94</v>
      </c>
      <c r="AC26" s="83" t="s">
        <v>94</v>
      </c>
      <c r="AD26" s="88"/>
      <c r="AE26" s="88"/>
      <c r="AF26" s="20">
        <f t="shared" si="8"/>
        <v>0</v>
      </c>
      <c r="AG26" s="13">
        <f t="shared" si="1"/>
        <v>0</v>
      </c>
      <c r="AH26" s="7">
        <f t="shared" si="2"/>
        <v>0</v>
      </c>
      <c r="AI26" s="7">
        <f t="shared" si="3"/>
        <v>0</v>
      </c>
      <c r="AJ26" s="7">
        <f t="shared" si="4"/>
        <v>0</v>
      </c>
      <c r="AK26" s="7">
        <f t="shared" si="5"/>
        <v>0</v>
      </c>
      <c r="AL26" s="12">
        <f t="shared" si="9"/>
        <v>0</v>
      </c>
      <c r="AM26" s="14" t="str">
        <f t="shared" si="7"/>
        <v>Passable</v>
      </c>
      <c r="AN26" s="88"/>
      <c r="AO26" s="92"/>
      <c r="AP26" s="83" t="s">
        <v>185</v>
      </c>
    </row>
    <row r="27" spans="1:42" ht="30" x14ac:dyDescent="0.25">
      <c r="A27" s="84">
        <v>45164</v>
      </c>
      <c r="C27" s="83">
        <v>3700007</v>
      </c>
      <c r="D27" s="83" t="s">
        <v>115</v>
      </c>
      <c r="E27" s="85">
        <v>10</v>
      </c>
      <c r="F27" s="86">
        <v>520696.14877189801</v>
      </c>
      <c r="G27" s="86">
        <v>6037969.6760748504</v>
      </c>
      <c r="H27" s="85" t="s">
        <v>123</v>
      </c>
      <c r="I27" s="85" t="s">
        <v>107</v>
      </c>
      <c r="L27" s="83" t="s">
        <v>92</v>
      </c>
      <c r="M27" s="83" t="s">
        <v>93</v>
      </c>
      <c r="N27" s="89">
        <v>1.7</v>
      </c>
      <c r="O27" s="89">
        <v>22</v>
      </c>
      <c r="P27" s="83" t="s">
        <v>94</v>
      </c>
      <c r="Q27" s="92"/>
      <c r="R27" s="83" t="s">
        <v>94</v>
      </c>
      <c r="S27" s="83" t="s">
        <v>95</v>
      </c>
      <c r="T27" s="89">
        <v>100</v>
      </c>
      <c r="U27" s="89">
        <v>4</v>
      </c>
      <c r="V27" s="83">
        <v>0</v>
      </c>
      <c r="W27" s="89">
        <v>0.4</v>
      </c>
      <c r="X27" s="83" t="s">
        <v>94</v>
      </c>
      <c r="Y27" s="89">
        <v>2.5</v>
      </c>
      <c r="Z27" s="89">
        <v>1.7</v>
      </c>
      <c r="AA27" s="83">
        <v>1</v>
      </c>
      <c r="AB27" s="83" t="s">
        <v>94</v>
      </c>
      <c r="AC27" s="83" t="s">
        <v>94</v>
      </c>
      <c r="AD27" s="83" t="s">
        <v>96</v>
      </c>
      <c r="AE27" s="83"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83"/>
      <c r="AO27" s="89"/>
      <c r="AP27" s="83" t="s">
        <v>186</v>
      </c>
    </row>
    <row r="28" spans="1:42" ht="30" x14ac:dyDescent="0.25">
      <c r="A28" s="84">
        <v>45164</v>
      </c>
      <c r="C28" s="83">
        <v>3700006</v>
      </c>
      <c r="D28" s="83" t="s">
        <v>115</v>
      </c>
      <c r="E28" s="85">
        <v>10</v>
      </c>
      <c r="F28" s="86">
        <v>523556.57243979198</v>
      </c>
      <c r="G28" s="86">
        <v>6024871.5714464001</v>
      </c>
      <c r="H28" s="85" t="s">
        <v>123</v>
      </c>
      <c r="I28" s="85" t="s">
        <v>107</v>
      </c>
      <c r="L28" s="83" t="s">
        <v>92</v>
      </c>
      <c r="M28" s="83" t="s">
        <v>93</v>
      </c>
      <c r="N28" s="89">
        <v>1.2</v>
      </c>
      <c r="O28" s="89">
        <v>18</v>
      </c>
      <c r="P28" s="83" t="s">
        <v>94</v>
      </c>
      <c r="Q28" s="92"/>
      <c r="R28" s="83" t="s">
        <v>94</v>
      </c>
      <c r="S28" s="83" t="s">
        <v>94</v>
      </c>
      <c r="T28" s="92"/>
      <c r="U28" s="89">
        <v>1</v>
      </c>
      <c r="V28" s="83">
        <v>0</v>
      </c>
      <c r="W28" s="89">
        <v>0.8</v>
      </c>
      <c r="X28" s="83" t="s">
        <v>94</v>
      </c>
      <c r="Y28" s="89">
        <v>0.5</v>
      </c>
      <c r="Z28" s="89">
        <v>3.4</v>
      </c>
      <c r="AA28" s="83">
        <v>1</v>
      </c>
      <c r="AB28" s="83" t="s">
        <v>94</v>
      </c>
      <c r="AC28" s="83" t="s">
        <v>94</v>
      </c>
      <c r="AD28" s="83" t="s">
        <v>96</v>
      </c>
      <c r="AE28" s="83" t="s">
        <v>97</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83"/>
      <c r="AO28" s="89"/>
      <c r="AP28" s="83" t="s">
        <v>187</v>
      </c>
    </row>
    <row r="29" spans="1:42" ht="30" x14ac:dyDescent="0.25">
      <c r="A29" s="84">
        <v>45164</v>
      </c>
      <c r="C29" s="83">
        <v>3700019</v>
      </c>
      <c r="D29" s="83" t="s">
        <v>125</v>
      </c>
      <c r="E29" s="85">
        <v>10</v>
      </c>
      <c r="F29" s="86">
        <v>514827.234802661</v>
      </c>
      <c r="G29" s="86">
        <v>6059932.4988985602</v>
      </c>
      <c r="H29" s="85" t="s">
        <v>234</v>
      </c>
      <c r="I29" s="85" t="s">
        <v>107</v>
      </c>
      <c r="K29" s="85" t="s">
        <v>126</v>
      </c>
      <c r="L29" s="83" t="s">
        <v>92</v>
      </c>
      <c r="M29" s="83" t="s">
        <v>93</v>
      </c>
      <c r="N29" s="89">
        <v>1.8</v>
      </c>
      <c r="O29" s="89">
        <v>36</v>
      </c>
      <c r="P29" s="83" t="s">
        <v>94</v>
      </c>
      <c r="Q29" s="92"/>
      <c r="R29" s="83" t="s">
        <v>94</v>
      </c>
      <c r="S29" s="83" t="s">
        <v>95</v>
      </c>
      <c r="T29" s="89">
        <v>100</v>
      </c>
      <c r="U29" s="89">
        <v>3</v>
      </c>
      <c r="V29" s="83">
        <v>0</v>
      </c>
      <c r="W29" s="89">
        <v>0.4</v>
      </c>
      <c r="X29" s="83" t="s">
        <v>95</v>
      </c>
      <c r="Y29" s="89">
        <v>0.5</v>
      </c>
      <c r="Z29" s="89">
        <v>5</v>
      </c>
      <c r="AA29" s="83">
        <v>1</v>
      </c>
      <c r="AB29" s="83" t="s">
        <v>95</v>
      </c>
      <c r="AC29" s="83" t="s">
        <v>94</v>
      </c>
      <c r="AD29" s="83" t="s">
        <v>96</v>
      </c>
      <c r="AE29" s="83" t="s">
        <v>99</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83"/>
      <c r="AO29" s="89"/>
      <c r="AP29" s="83" t="s">
        <v>188</v>
      </c>
    </row>
    <row r="30" spans="1:42" ht="30" x14ac:dyDescent="0.25">
      <c r="A30" s="84">
        <v>45164</v>
      </c>
      <c r="C30" s="83">
        <v>3701847</v>
      </c>
      <c r="D30" s="83" t="s">
        <v>125</v>
      </c>
      <c r="E30" s="85">
        <v>10</v>
      </c>
      <c r="F30" s="86">
        <v>514810.12878570601</v>
      </c>
      <c r="G30" s="86">
        <v>6059906.4789380403</v>
      </c>
      <c r="H30" s="85" t="s">
        <v>235</v>
      </c>
      <c r="I30" s="85" t="s">
        <v>245</v>
      </c>
      <c r="K30" s="85" t="s">
        <v>127</v>
      </c>
      <c r="L30" s="83" t="s">
        <v>104</v>
      </c>
      <c r="N30" s="92"/>
      <c r="O30" s="92"/>
      <c r="P30" s="88"/>
      <c r="Q30" s="92"/>
      <c r="R30" s="88"/>
      <c r="S30" s="88"/>
      <c r="T30" s="92"/>
      <c r="U30" s="92"/>
      <c r="V30" s="88"/>
      <c r="W30" s="92"/>
      <c r="X30" s="88"/>
      <c r="Y30" s="92"/>
      <c r="Z30" s="92"/>
      <c r="AA30" s="88"/>
      <c r="AB30" s="83" t="s">
        <v>94</v>
      </c>
      <c r="AC30" s="83" t="s">
        <v>94</v>
      </c>
      <c r="AD30" s="88"/>
      <c r="AE30" s="88"/>
      <c r="AF30" s="20">
        <f t="shared" si="8"/>
        <v>0</v>
      </c>
      <c r="AG30" s="13">
        <f t="shared" si="1"/>
        <v>0</v>
      </c>
      <c r="AH30" s="7">
        <f t="shared" si="2"/>
        <v>0</v>
      </c>
      <c r="AI30" s="7">
        <f t="shared" si="3"/>
        <v>0</v>
      </c>
      <c r="AJ30" s="7">
        <f t="shared" si="4"/>
        <v>0</v>
      </c>
      <c r="AK30" s="7">
        <f t="shared" si="5"/>
        <v>0</v>
      </c>
      <c r="AL30" s="12">
        <f t="shared" si="9"/>
        <v>0</v>
      </c>
      <c r="AM30" s="14" t="str">
        <f t="shared" si="7"/>
        <v>Unknown</v>
      </c>
      <c r="AN30" s="88"/>
      <c r="AO30" s="92"/>
      <c r="AP30" s="83" t="s">
        <v>189</v>
      </c>
    </row>
    <row r="31" spans="1:42" ht="30" x14ac:dyDescent="0.25">
      <c r="A31" s="84">
        <v>45164</v>
      </c>
      <c r="C31" s="83">
        <v>3700023</v>
      </c>
      <c r="D31" s="83" t="s">
        <v>125</v>
      </c>
      <c r="E31" s="85">
        <v>10</v>
      </c>
      <c r="F31" s="86">
        <v>510940.257070411</v>
      </c>
      <c r="G31" s="86">
        <v>6071748.0803880496</v>
      </c>
      <c r="H31" s="85" t="s">
        <v>123</v>
      </c>
      <c r="I31" s="85" t="s">
        <v>107</v>
      </c>
      <c r="K31" s="85" t="s">
        <v>128</v>
      </c>
      <c r="L31" s="83" t="s">
        <v>92</v>
      </c>
      <c r="M31" s="83" t="s">
        <v>93</v>
      </c>
      <c r="N31" s="89">
        <v>0.5</v>
      </c>
      <c r="O31" s="89">
        <v>30</v>
      </c>
      <c r="P31" s="83" t="s">
        <v>95</v>
      </c>
      <c r="Q31" s="89">
        <v>0.1</v>
      </c>
      <c r="R31" s="83" t="s">
        <v>95</v>
      </c>
      <c r="S31" s="83" t="s">
        <v>95</v>
      </c>
      <c r="T31" s="89">
        <v>100</v>
      </c>
      <c r="U31" s="89">
        <v>4.5</v>
      </c>
      <c r="V31" s="83">
        <v>0</v>
      </c>
      <c r="W31" s="89">
        <v>0.5</v>
      </c>
      <c r="X31" s="83" t="s">
        <v>95</v>
      </c>
      <c r="Y31" s="89">
        <v>0.5</v>
      </c>
      <c r="Z31" s="89">
        <v>4</v>
      </c>
      <c r="AA31" s="83">
        <v>0</v>
      </c>
      <c r="AB31" s="83" t="s">
        <v>95</v>
      </c>
      <c r="AC31" s="83" t="s">
        <v>94</v>
      </c>
      <c r="AD31" s="83" t="s">
        <v>96</v>
      </c>
      <c r="AE31" s="83" t="s">
        <v>102</v>
      </c>
      <c r="AF31" s="20">
        <f t="shared" si="8"/>
        <v>8</v>
      </c>
      <c r="AG31" s="13">
        <f t="shared" si="1"/>
        <v>6</v>
      </c>
      <c r="AH31" s="7">
        <f t="shared" si="2"/>
        <v>5</v>
      </c>
      <c r="AI31" s="7">
        <f t="shared" si="3"/>
        <v>0</v>
      </c>
      <c r="AJ31" s="7">
        <f t="shared" si="4"/>
        <v>0</v>
      </c>
      <c r="AK31" s="7">
        <f t="shared" si="5"/>
        <v>6</v>
      </c>
      <c r="AL31" s="12">
        <f t="shared" si="9"/>
        <v>17</v>
      </c>
      <c r="AM31" s="14" t="str">
        <f t="shared" si="7"/>
        <v>Potential</v>
      </c>
      <c r="AN31" s="83"/>
      <c r="AO31" s="89"/>
      <c r="AP31" s="83" t="s">
        <v>190</v>
      </c>
    </row>
    <row r="32" spans="1:42" x14ac:dyDescent="0.25">
      <c r="A32" s="84">
        <v>45164</v>
      </c>
      <c r="C32" s="83">
        <v>3700024</v>
      </c>
      <c r="D32" s="83" t="s">
        <v>125</v>
      </c>
      <c r="E32" s="85">
        <v>10</v>
      </c>
      <c r="F32" s="86">
        <v>510950.26997028699</v>
      </c>
      <c r="G32" s="86">
        <v>6072478.8153490396</v>
      </c>
      <c r="H32" s="85" t="s">
        <v>129</v>
      </c>
      <c r="I32" s="85" t="s">
        <v>107</v>
      </c>
      <c r="K32" s="85" t="s">
        <v>108</v>
      </c>
      <c r="L32" s="83" t="s">
        <v>92</v>
      </c>
      <c r="M32" s="83" t="s">
        <v>93</v>
      </c>
      <c r="N32" s="89">
        <v>2</v>
      </c>
      <c r="O32" s="89">
        <v>26</v>
      </c>
      <c r="P32" s="83" t="s">
        <v>95</v>
      </c>
      <c r="Q32" s="89">
        <v>0.25</v>
      </c>
      <c r="R32" s="83" t="s">
        <v>95</v>
      </c>
      <c r="S32" s="83" t="s">
        <v>95</v>
      </c>
      <c r="T32" s="89">
        <v>100</v>
      </c>
      <c r="U32" s="89">
        <v>1.5</v>
      </c>
      <c r="V32" s="83">
        <v>0</v>
      </c>
      <c r="W32" s="89">
        <v>0.3</v>
      </c>
      <c r="X32" s="83" t="s">
        <v>94</v>
      </c>
      <c r="Y32" s="89">
        <v>0.5</v>
      </c>
      <c r="Z32" s="89">
        <v>2.5</v>
      </c>
      <c r="AA32" s="83">
        <v>1.5</v>
      </c>
      <c r="AB32" s="83" t="s">
        <v>94</v>
      </c>
      <c r="AC32" s="83" t="s">
        <v>94</v>
      </c>
      <c r="AD32" s="83" t="s">
        <v>96</v>
      </c>
      <c r="AE32" s="83" t="s">
        <v>102</v>
      </c>
      <c r="AF32" s="20">
        <f t="shared" si="8"/>
        <v>1.25</v>
      </c>
      <c r="AG32" s="13">
        <f t="shared" si="1"/>
        <v>3</v>
      </c>
      <c r="AH32" s="7">
        <f t="shared" si="2"/>
        <v>5</v>
      </c>
      <c r="AI32" s="7">
        <f t="shared" si="3"/>
        <v>0</v>
      </c>
      <c r="AJ32" s="7">
        <f t="shared" si="4"/>
        <v>0</v>
      </c>
      <c r="AK32" s="7">
        <f t="shared" si="5"/>
        <v>3</v>
      </c>
      <c r="AL32" s="12">
        <f t="shared" si="9"/>
        <v>11</v>
      </c>
      <c r="AM32" s="14" t="str">
        <f t="shared" si="7"/>
        <v>Passable</v>
      </c>
      <c r="AN32" s="83"/>
      <c r="AO32" s="89"/>
      <c r="AP32" s="83" t="s">
        <v>191</v>
      </c>
    </row>
    <row r="33" spans="1:42" ht="30" x14ac:dyDescent="0.25">
      <c r="A33" s="84">
        <v>45164</v>
      </c>
      <c r="C33" s="83">
        <v>3701948</v>
      </c>
      <c r="D33" s="83" t="s">
        <v>125</v>
      </c>
      <c r="E33" s="85">
        <v>10</v>
      </c>
      <c r="F33" s="86">
        <v>509646.19626364601</v>
      </c>
      <c r="G33" s="86">
        <v>6074530.7301764097</v>
      </c>
      <c r="H33" s="85" t="s">
        <v>123</v>
      </c>
      <c r="I33" s="85" t="s">
        <v>246</v>
      </c>
      <c r="K33" s="85" t="s">
        <v>108</v>
      </c>
      <c r="L33" s="83" t="s">
        <v>92</v>
      </c>
      <c r="M33" s="83" t="s">
        <v>93</v>
      </c>
      <c r="N33" s="89">
        <v>1.5</v>
      </c>
      <c r="O33" s="89">
        <v>52</v>
      </c>
      <c r="P33" s="83" t="s">
        <v>94</v>
      </c>
      <c r="Q33" s="92"/>
      <c r="R33" s="83" t="s">
        <v>94</v>
      </c>
      <c r="S33" s="83" t="s">
        <v>94</v>
      </c>
      <c r="T33" s="92"/>
      <c r="U33" s="89">
        <v>10</v>
      </c>
      <c r="V33" s="83">
        <v>0.5</v>
      </c>
      <c r="W33" s="89">
        <v>0</v>
      </c>
      <c r="X33" s="83" t="s">
        <v>94</v>
      </c>
      <c r="Y33" s="89">
        <v>1</v>
      </c>
      <c r="Z33" s="89">
        <v>3.9</v>
      </c>
      <c r="AA33" s="83">
        <v>3</v>
      </c>
      <c r="AB33" s="83" t="s">
        <v>95</v>
      </c>
      <c r="AC33" s="83" t="s">
        <v>94</v>
      </c>
      <c r="AD33" s="83" t="s">
        <v>96</v>
      </c>
      <c r="AE33" s="83"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83"/>
      <c r="AO33" s="89"/>
      <c r="AP33" s="83" t="s">
        <v>192</v>
      </c>
    </row>
    <row r="34" spans="1:42" ht="30" x14ac:dyDescent="0.25">
      <c r="A34" s="84">
        <v>45164</v>
      </c>
      <c r="C34" s="83">
        <v>2200009</v>
      </c>
      <c r="D34" s="83" t="s">
        <v>125</v>
      </c>
      <c r="E34" s="85">
        <v>10</v>
      </c>
      <c r="F34" s="86">
        <v>506473.83245198103</v>
      </c>
      <c r="G34" s="86">
        <v>6080568.3292500796</v>
      </c>
      <c r="H34" s="85" t="s">
        <v>154</v>
      </c>
      <c r="I34" s="85" t="s">
        <v>107</v>
      </c>
      <c r="K34" s="85" t="s">
        <v>108</v>
      </c>
      <c r="L34" s="83" t="s">
        <v>92</v>
      </c>
      <c r="M34" s="83" t="s">
        <v>93</v>
      </c>
      <c r="N34" s="89">
        <v>1.2</v>
      </c>
      <c r="O34" s="89">
        <v>30</v>
      </c>
      <c r="P34" s="83" t="s">
        <v>95</v>
      </c>
      <c r="Q34" s="89">
        <v>0.1</v>
      </c>
      <c r="R34" s="83" t="s">
        <v>95</v>
      </c>
      <c r="S34" s="83" t="s">
        <v>95</v>
      </c>
      <c r="T34" s="89">
        <v>100</v>
      </c>
      <c r="U34" s="89">
        <v>1.2</v>
      </c>
      <c r="V34" s="83">
        <v>0</v>
      </c>
      <c r="W34" s="89">
        <v>1</v>
      </c>
      <c r="X34" s="83" t="s">
        <v>94</v>
      </c>
      <c r="Y34" s="89">
        <v>2.5</v>
      </c>
      <c r="Z34" s="89">
        <v>4.0999999999999996</v>
      </c>
      <c r="AA34" s="83">
        <v>2.5</v>
      </c>
      <c r="AB34" s="83" t="s">
        <v>95</v>
      </c>
      <c r="AC34" s="83" t="s">
        <v>94</v>
      </c>
      <c r="AD34" s="83" t="s">
        <v>96</v>
      </c>
      <c r="AE34" s="83" t="s">
        <v>102</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83"/>
      <c r="AO34" s="89"/>
      <c r="AP34" s="83" t="s">
        <v>193</v>
      </c>
    </row>
    <row r="35" spans="1:42" ht="30" x14ac:dyDescent="0.25">
      <c r="A35" s="84">
        <v>45164</v>
      </c>
      <c r="C35" s="83">
        <v>2200012</v>
      </c>
      <c r="D35" s="83" t="s">
        <v>125</v>
      </c>
      <c r="E35" s="85">
        <v>10</v>
      </c>
      <c r="F35" s="86">
        <v>505028.98706918699</v>
      </c>
      <c r="G35" s="86">
        <v>6083597.00069426</v>
      </c>
      <c r="H35" s="85" t="s">
        <v>233</v>
      </c>
      <c r="I35" s="85" t="s">
        <v>107</v>
      </c>
      <c r="K35" s="85" t="s">
        <v>108</v>
      </c>
      <c r="L35" s="83" t="s">
        <v>92</v>
      </c>
      <c r="M35" s="83" t="s">
        <v>93</v>
      </c>
      <c r="N35" s="89">
        <v>0.9</v>
      </c>
      <c r="O35" s="89">
        <v>55</v>
      </c>
      <c r="P35" s="83" t="s">
        <v>94</v>
      </c>
      <c r="Q35" s="92"/>
      <c r="R35" s="83" t="s">
        <v>94</v>
      </c>
      <c r="S35" s="83" t="s">
        <v>94</v>
      </c>
      <c r="T35" s="92"/>
      <c r="U35" s="89">
        <v>8</v>
      </c>
      <c r="V35" s="83">
        <v>0.6</v>
      </c>
      <c r="W35" s="89">
        <v>0.1</v>
      </c>
      <c r="X35" s="83" t="s">
        <v>94</v>
      </c>
      <c r="Y35" s="89">
        <v>0</v>
      </c>
      <c r="Z35" s="89">
        <v>2.5</v>
      </c>
      <c r="AA35" s="83">
        <v>3</v>
      </c>
      <c r="AB35" s="83" t="s">
        <v>94</v>
      </c>
      <c r="AC35" s="83" t="s">
        <v>94</v>
      </c>
      <c r="AD35" s="83" t="s">
        <v>96</v>
      </c>
      <c r="AE35" s="83"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83"/>
      <c r="AO35" s="89"/>
      <c r="AP35" s="83" t="s">
        <v>194</v>
      </c>
    </row>
    <row r="36" spans="1:42" ht="30" x14ac:dyDescent="0.25">
      <c r="A36" s="84">
        <v>45164</v>
      </c>
      <c r="C36" s="83">
        <v>3702657</v>
      </c>
      <c r="D36" s="83" t="s">
        <v>125</v>
      </c>
      <c r="E36" s="85">
        <v>10</v>
      </c>
      <c r="F36" s="86">
        <v>512259.622649286</v>
      </c>
      <c r="G36" s="86">
        <v>6058146.6589514902</v>
      </c>
      <c r="H36" s="85" t="s">
        <v>235</v>
      </c>
      <c r="I36" s="85" t="s">
        <v>130</v>
      </c>
      <c r="L36" s="83" t="s">
        <v>92</v>
      </c>
      <c r="M36" s="83" t="s">
        <v>93</v>
      </c>
      <c r="N36" s="89">
        <v>0.7</v>
      </c>
      <c r="O36" s="89">
        <v>13.5</v>
      </c>
      <c r="P36" s="83" t="s">
        <v>94</v>
      </c>
      <c r="Q36" s="92"/>
      <c r="R36" s="83" t="s">
        <v>94</v>
      </c>
      <c r="S36" s="83" t="s">
        <v>94</v>
      </c>
      <c r="T36" s="92"/>
      <c r="U36" s="89">
        <v>0.5</v>
      </c>
      <c r="V36" s="83">
        <v>0.3</v>
      </c>
      <c r="W36" s="89">
        <v>0</v>
      </c>
      <c r="X36" s="83" t="s">
        <v>94</v>
      </c>
      <c r="Y36" s="89">
        <v>3</v>
      </c>
      <c r="Z36" s="89">
        <v>1</v>
      </c>
      <c r="AA36" s="83">
        <v>5</v>
      </c>
      <c r="AB36" s="83" t="s">
        <v>94</v>
      </c>
      <c r="AC36" s="83" t="s">
        <v>94</v>
      </c>
      <c r="AD36" s="83" t="s">
        <v>96</v>
      </c>
      <c r="AE36" s="83"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83"/>
      <c r="AO36" s="89"/>
      <c r="AP36" s="83" t="s">
        <v>195</v>
      </c>
    </row>
    <row r="37" spans="1:42" ht="30" x14ac:dyDescent="0.25">
      <c r="A37" s="84">
        <v>45164</v>
      </c>
      <c r="C37" s="83">
        <v>3702663</v>
      </c>
      <c r="D37" s="83" t="s">
        <v>125</v>
      </c>
      <c r="E37" s="85">
        <v>10</v>
      </c>
      <c r="F37" s="86">
        <v>511738.76884141698</v>
      </c>
      <c r="G37" s="86">
        <v>6059302.8895997899</v>
      </c>
      <c r="H37" s="85" t="s">
        <v>235</v>
      </c>
      <c r="I37" s="85" t="s">
        <v>131</v>
      </c>
      <c r="J37" s="93">
        <v>7.1</v>
      </c>
      <c r="L37" s="83" t="s">
        <v>92</v>
      </c>
      <c r="M37" s="83" t="s">
        <v>93</v>
      </c>
      <c r="N37" s="89">
        <v>1.2</v>
      </c>
      <c r="O37" s="89">
        <v>17</v>
      </c>
      <c r="P37" s="83" t="s">
        <v>94</v>
      </c>
      <c r="Q37" s="92"/>
      <c r="R37" s="83" t="s">
        <v>94</v>
      </c>
      <c r="S37" s="83" t="s">
        <v>94</v>
      </c>
      <c r="T37" s="92"/>
      <c r="U37" s="89">
        <v>4</v>
      </c>
      <c r="V37" s="83">
        <v>0.3</v>
      </c>
      <c r="W37" s="89">
        <v>1</v>
      </c>
      <c r="X37" s="83" t="s">
        <v>94</v>
      </c>
      <c r="Y37" s="89">
        <v>3</v>
      </c>
      <c r="Z37" s="89">
        <v>3.6</v>
      </c>
      <c r="AA37" s="83">
        <v>4</v>
      </c>
      <c r="AB37" s="83" t="s">
        <v>94</v>
      </c>
      <c r="AC37" s="83" t="s">
        <v>94</v>
      </c>
      <c r="AD37" s="83" t="s">
        <v>96</v>
      </c>
      <c r="AE37" s="83" t="s">
        <v>99</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83"/>
      <c r="AO37" s="89"/>
      <c r="AP37" s="83" t="s">
        <v>196</v>
      </c>
    </row>
    <row r="38" spans="1:42" ht="30" x14ac:dyDescent="0.25">
      <c r="A38" s="84">
        <v>45164</v>
      </c>
      <c r="C38" s="83">
        <v>3702665</v>
      </c>
      <c r="D38" s="83" t="s">
        <v>125</v>
      </c>
      <c r="E38" s="85">
        <v>10</v>
      </c>
      <c r="F38" s="86">
        <v>511840.77801849903</v>
      </c>
      <c r="G38" s="86">
        <v>6060224.9613760198</v>
      </c>
      <c r="H38" s="85" t="s">
        <v>235</v>
      </c>
      <c r="I38" s="85" t="s">
        <v>132</v>
      </c>
      <c r="L38" s="83" t="s">
        <v>92</v>
      </c>
      <c r="M38" s="83" t="s">
        <v>93</v>
      </c>
      <c r="N38" s="89">
        <v>1.2</v>
      </c>
      <c r="O38" s="89">
        <v>20</v>
      </c>
      <c r="P38" s="83" t="s">
        <v>94</v>
      </c>
      <c r="Q38" s="92"/>
      <c r="R38" s="83" t="s">
        <v>94</v>
      </c>
      <c r="S38" s="83" t="s">
        <v>94</v>
      </c>
      <c r="T38" s="92"/>
      <c r="U38" s="89">
        <v>2</v>
      </c>
      <c r="V38" s="83">
        <v>1</v>
      </c>
      <c r="W38" s="89">
        <v>0.7</v>
      </c>
      <c r="X38" s="83" t="s">
        <v>95</v>
      </c>
      <c r="Y38" s="89">
        <v>3</v>
      </c>
      <c r="Z38" s="89">
        <v>3.5</v>
      </c>
      <c r="AA38" s="83">
        <v>3.5</v>
      </c>
      <c r="AB38" s="83" t="s">
        <v>94</v>
      </c>
      <c r="AC38" s="83" t="s">
        <v>94</v>
      </c>
      <c r="AD38" s="83" t="s">
        <v>96</v>
      </c>
      <c r="AE38" s="83"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83"/>
      <c r="AO38" s="89"/>
      <c r="AP38" s="83" t="s">
        <v>197</v>
      </c>
    </row>
    <row r="39" spans="1:42" ht="30" x14ac:dyDescent="0.25">
      <c r="A39" s="84">
        <v>45167</v>
      </c>
      <c r="C39" s="83">
        <v>3703459</v>
      </c>
      <c r="D39" s="83" t="s">
        <v>115</v>
      </c>
      <c r="E39" s="85">
        <v>10</v>
      </c>
      <c r="F39" s="86">
        <v>513782.75756309798</v>
      </c>
      <c r="G39" s="86">
        <v>6067300.6120559797</v>
      </c>
      <c r="H39" s="85" t="s">
        <v>133</v>
      </c>
      <c r="I39" s="85" t="s">
        <v>134</v>
      </c>
      <c r="L39" s="83" t="s">
        <v>92</v>
      </c>
      <c r="M39" s="83" t="s">
        <v>93</v>
      </c>
      <c r="N39" s="89">
        <v>0.75</v>
      </c>
      <c r="O39" s="89">
        <v>12</v>
      </c>
      <c r="P39" s="83" t="s">
        <v>94</v>
      </c>
      <c r="Q39" s="92"/>
      <c r="R39" s="83" t="s">
        <v>94</v>
      </c>
      <c r="S39" s="83" t="s">
        <v>94</v>
      </c>
      <c r="T39" s="92"/>
      <c r="U39" s="89">
        <v>1.5</v>
      </c>
      <c r="V39" s="83">
        <v>0</v>
      </c>
      <c r="W39" s="89">
        <v>0.7</v>
      </c>
      <c r="X39" s="83" t="s">
        <v>95</v>
      </c>
      <c r="Y39" s="89">
        <v>2</v>
      </c>
      <c r="Z39" s="89">
        <v>2.2000000000000002</v>
      </c>
      <c r="AA39" s="83">
        <v>2</v>
      </c>
      <c r="AB39" s="83" t="s">
        <v>94</v>
      </c>
      <c r="AC39" s="83" t="s">
        <v>95</v>
      </c>
      <c r="AD39" s="83" t="s">
        <v>96</v>
      </c>
      <c r="AE39" s="83" t="s">
        <v>102</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83"/>
      <c r="AO39" s="89"/>
      <c r="AP39" s="83" t="s">
        <v>198</v>
      </c>
    </row>
    <row r="40" spans="1:42" ht="30" x14ac:dyDescent="0.25">
      <c r="A40" s="84">
        <v>45167</v>
      </c>
      <c r="C40" s="83">
        <v>2023082901</v>
      </c>
      <c r="D40" s="83" t="s">
        <v>125</v>
      </c>
      <c r="E40" s="85">
        <v>10</v>
      </c>
      <c r="F40" s="86">
        <v>513128.00473354402</v>
      </c>
      <c r="G40" s="86">
        <v>6067172.5522272699</v>
      </c>
      <c r="H40" s="85" t="s">
        <v>133</v>
      </c>
      <c r="I40" s="85" t="s">
        <v>134</v>
      </c>
      <c r="L40" s="83" t="s">
        <v>112</v>
      </c>
      <c r="M40" s="83" t="s">
        <v>113</v>
      </c>
      <c r="N40" s="89">
        <v>15</v>
      </c>
      <c r="O40" s="89">
        <v>5</v>
      </c>
      <c r="P40" s="88"/>
      <c r="Q40" s="92"/>
      <c r="R40" s="88"/>
      <c r="S40" s="88"/>
      <c r="T40" s="92"/>
      <c r="U40" s="92"/>
      <c r="V40" s="88"/>
      <c r="W40" s="92"/>
      <c r="X40" s="88"/>
      <c r="Y40" s="92"/>
      <c r="Z40" s="92"/>
      <c r="AA40" s="88"/>
      <c r="AB40" s="83" t="s">
        <v>94</v>
      </c>
      <c r="AC40" s="83" t="s">
        <v>94</v>
      </c>
      <c r="AD40" s="88"/>
      <c r="AE40" s="88"/>
      <c r="AF40" s="20">
        <f t="shared" si="8"/>
        <v>0</v>
      </c>
      <c r="AG40" s="13">
        <f t="shared" si="1"/>
        <v>0</v>
      </c>
      <c r="AH40" s="7">
        <f t="shared" si="2"/>
        <v>0</v>
      </c>
      <c r="AI40" s="7">
        <f t="shared" si="3"/>
        <v>0</v>
      </c>
      <c r="AJ40" s="7">
        <f t="shared" si="4"/>
        <v>0</v>
      </c>
      <c r="AK40" s="7">
        <f t="shared" si="5"/>
        <v>0</v>
      </c>
      <c r="AL40" s="12">
        <f t="shared" si="9"/>
        <v>0</v>
      </c>
      <c r="AM40" s="14" t="str">
        <f t="shared" si="7"/>
        <v>Passable</v>
      </c>
      <c r="AN40" s="88"/>
      <c r="AO40" s="92"/>
      <c r="AP40" s="83" t="s">
        <v>199</v>
      </c>
    </row>
    <row r="41" spans="1:42" ht="30" x14ac:dyDescent="0.25">
      <c r="A41" s="84">
        <v>45168</v>
      </c>
      <c r="C41" s="83">
        <v>3702446</v>
      </c>
      <c r="D41" s="83" t="s">
        <v>236</v>
      </c>
      <c r="E41" s="85">
        <v>10</v>
      </c>
      <c r="F41" s="86">
        <v>497845.71185321099</v>
      </c>
      <c r="G41" s="86">
        <v>6060884.2917060703</v>
      </c>
      <c r="H41" s="85" t="s">
        <v>136</v>
      </c>
      <c r="I41" s="85" t="s">
        <v>237</v>
      </c>
      <c r="L41" s="83" t="s">
        <v>92</v>
      </c>
      <c r="M41" s="83" t="s">
        <v>93</v>
      </c>
      <c r="N41" s="89">
        <v>0.6</v>
      </c>
      <c r="O41" s="89">
        <v>15</v>
      </c>
      <c r="P41" s="83" t="s">
        <v>94</v>
      </c>
      <c r="Q41" s="92"/>
      <c r="R41" s="83" t="s">
        <v>94</v>
      </c>
      <c r="S41" s="83" t="s">
        <v>94</v>
      </c>
      <c r="T41" s="92"/>
      <c r="U41" s="89">
        <v>2.5</v>
      </c>
      <c r="V41" s="83">
        <v>0.5</v>
      </c>
      <c r="W41" s="89">
        <v>0</v>
      </c>
      <c r="X41" s="83" t="s">
        <v>95</v>
      </c>
      <c r="Y41" s="89">
        <v>6</v>
      </c>
      <c r="Z41" s="89">
        <v>0</v>
      </c>
      <c r="AA41" s="83">
        <v>0</v>
      </c>
      <c r="AB41" s="83" t="s">
        <v>94</v>
      </c>
      <c r="AC41" s="83" t="s">
        <v>94</v>
      </c>
      <c r="AD41" s="83" t="s">
        <v>96</v>
      </c>
      <c r="AE41" s="83"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83"/>
      <c r="AO41" s="89"/>
      <c r="AP41" s="83" t="s">
        <v>200</v>
      </c>
    </row>
    <row r="42" spans="1:42" ht="30" x14ac:dyDescent="0.25">
      <c r="A42" s="84">
        <v>45168</v>
      </c>
      <c r="C42" s="83">
        <v>3702959</v>
      </c>
      <c r="D42" s="83" t="s">
        <v>236</v>
      </c>
      <c r="E42" s="85">
        <v>10</v>
      </c>
      <c r="F42" s="86">
        <v>494175.80537313898</v>
      </c>
      <c r="G42" s="86">
        <v>6055953.3161710603</v>
      </c>
      <c r="H42" s="85" t="s">
        <v>135</v>
      </c>
      <c r="I42" s="85" t="s">
        <v>237</v>
      </c>
      <c r="L42" s="83" t="s">
        <v>92</v>
      </c>
      <c r="M42" s="83" t="s">
        <v>93</v>
      </c>
      <c r="N42" s="89">
        <v>1.5</v>
      </c>
      <c r="O42" s="89">
        <v>12</v>
      </c>
      <c r="P42" s="83" t="s">
        <v>94</v>
      </c>
      <c r="Q42" s="92"/>
      <c r="R42" s="83" t="s">
        <v>94</v>
      </c>
      <c r="S42" s="83" t="s">
        <v>94</v>
      </c>
      <c r="T42" s="92"/>
      <c r="U42" s="89">
        <v>0.5</v>
      </c>
      <c r="V42" s="83">
        <v>0</v>
      </c>
      <c r="W42" s="89">
        <v>1</v>
      </c>
      <c r="X42" s="83" t="s">
        <v>94</v>
      </c>
      <c r="Y42" s="89">
        <v>1</v>
      </c>
      <c r="Z42" s="89">
        <v>3.4</v>
      </c>
      <c r="AA42" s="83">
        <v>1</v>
      </c>
      <c r="AB42" s="83" t="s">
        <v>95</v>
      </c>
      <c r="AC42" s="83" t="s">
        <v>94</v>
      </c>
      <c r="AD42" s="83" t="s">
        <v>96</v>
      </c>
      <c r="AE42" s="83" t="s">
        <v>99</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83"/>
      <c r="AO42" s="89"/>
      <c r="AP42" s="83" t="s">
        <v>201</v>
      </c>
    </row>
    <row r="43" spans="1:42" ht="30" x14ac:dyDescent="0.25">
      <c r="A43" s="84">
        <v>45168</v>
      </c>
      <c r="C43" s="83">
        <v>3702445</v>
      </c>
      <c r="D43" s="83" t="s">
        <v>236</v>
      </c>
      <c r="E43" s="85">
        <v>10</v>
      </c>
      <c r="F43" s="86">
        <v>494123.58235798101</v>
      </c>
      <c r="G43" s="86">
        <v>6054452.3932029996</v>
      </c>
      <c r="H43" s="85" t="s">
        <v>136</v>
      </c>
      <c r="I43" s="85" t="s">
        <v>237</v>
      </c>
      <c r="L43" s="83" t="s">
        <v>92</v>
      </c>
      <c r="M43" s="83" t="s">
        <v>93</v>
      </c>
      <c r="N43" s="89">
        <v>3.5</v>
      </c>
      <c r="O43" s="89">
        <v>25</v>
      </c>
      <c r="P43" s="83" t="s">
        <v>94</v>
      </c>
      <c r="Q43" s="92"/>
      <c r="R43" s="83" t="s">
        <v>94</v>
      </c>
      <c r="S43" s="83" t="s">
        <v>94</v>
      </c>
      <c r="T43" s="92"/>
      <c r="U43" s="89">
        <v>1</v>
      </c>
      <c r="V43" s="83">
        <v>0.5</v>
      </c>
      <c r="W43" s="89">
        <v>0.4</v>
      </c>
      <c r="X43" s="83" t="s">
        <v>94</v>
      </c>
      <c r="Y43" s="89">
        <v>2.5</v>
      </c>
      <c r="Z43" s="89">
        <v>3.5</v>
      </c>
      <c r="AA43" s="83">
        <v>1.5</v>
      </c>
      <c r="AB43" s="83" t="s">
        <v>95</v>
      </c>
      <c r="AC43" s="83" t="s">
        <v>94</v>
      </c>
      <c r="AD43" s="83" t="s">
        <v>96</v>
      </c>
      <c r="AE43" s="83" t="s">
        <v>99</v>
      </c>
      <c r="AF43" s="20">
        <f t="shared" si="8"/>
        <v>1</v>
      </c>
      <c r="AG43" s="13">
        <f t="shared" si="1"/>
        <v>3</v>
      </c>
      <c r="AH43" s="7">
        <f t="shared" si="2"/>
        <v>10</v>
      </c>
      <c r="AI43" s="7">
        <f t="shared" si="3"/>
        <v>10</v>
      </c>
      <c r="AJ43" s="7">
        <f t="shared" si="4"/>
        <v>5</v>
      </c>
      <c r="AK43" s="7">
        <f t="shared" si="5"/>
        <v>3</v>
      </c>
      <c r="AL43" s="12">
        <f t="shared" si="9"/>
        <v>31</v>
      </c>
      <c r="AM43" s="14" t="str">
        <f t="shared" si="7"/>
        <v>Barrier</v>
      </c>
      <c r="AN43" s="83"/>
      <c r="AO43" s="89"/>
      <c r="AP43" s="83" t="s">
        <v>202</v>
      </c>
    </row>
    <row r="44" spans="1:42" ht="30" x14ac:dyDescent="0.25">
      <c r="A44" s="84">
        <v>45168</v>
      </c>
      <c r="C44" s="83">
        <v>3703222</v>
      </c>
      <c r="D44" s="83" t="s">
        <v>238</v>
      </c>
      <c r="E44" s="85">
        <v>10</v>
      </c>
      <c r="F44" s="86">
        <v>516272.82048513502</v>
      </c>
      <c r="G44" s="86">
        <v>6039291.4720805902</v>
      </c>
      <c r="H44" s="85" t="s">
        <v>137</v>
      </c>
      <c r="I44" s="85" t="s">
        <v>138</v>
      </c>
      <c r="L44" s="83" t="s">
        <v>92</v>
      </c>
      <c r="M44" s="83" t="s">
        <v>93</v>
      </c>
      <c r="N44" s="89">
        <v>0.6</v>
      </c>
      <c r="O44" s="89">
        <v>15</v>
      </c>
      <c r="P44" s="83" t="s">
        <v>94</v>
      </c>
      <c r="Q44" s="92"/>
      <c r="R44" s="83" t="s">
        <v>94</v>
      </c>
      <c r="S44" s="83" t="s">
        <v>94</v>
      </c>
      <c r="T44" s="92"/>
      <c r="U44" s="89">
        <v>2</v>
      </c>
      <c r="V44" s="83">
        <v>0.6</v>
      </c>
      <c r="W44" s="89">
        <v>0.4</v>
      </c>
      <c r="X44" s="83" t="s">
        <v>94</v>
      </c>
      <c r="Y44" s="89">
        <v>3</v>
      </c>
      <c r="Z44" s="89">
        <v>2.2999999999999998</v>
      </c>
      <c r="AA44" s="83">
        <v>3.5</v>
      </c>
      <c r="AB44" s="83" t="s">
        <v>94</v>
      </c>
      <c r="AC44" s="83" t="s">
        <v>94</v>
      </c>
      <c r="AD44" s="83" t="s">
        <v>96</v>
      </c>
      <c r="AE44" s="83" t="s">
        <v>99</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83"/>
      <c r="AO44" s="89"/>
      <c r="AP44" s="83" t="s">
        <v>203</v>
      </c>
    </row>
    <row r="45" spans="1:42" ht="30" x14ac:dyDescent="0.25">
      <c r="A45" s="84">
        <v>45168</v>
      </c>
      <c r="C45" s="83">
        <v>24743865</v>
      </c>
      <c r="D45" s="83" t="s">
        <v>115</v>
      </c>
      <c r="E45" s="85">
        <v>10</v>
      </c>
      <c r="F45" s="86">
        <v>513408.86210897501</v>
      </c>
      <c r="G45" s="86">
        <v>6047505.9139440302</v>
      </c>
      <c r="H45" s="85" t="s">
        <v>123</v>
      </c>
      <c r="I45" s="85" t="s">
        <v>138</v>
      </c>
      <c r="L45" s="83" t="s">
        <v>112</v>
      </c>
      <c r="M45" s="83" t="s">
        <v>113</v>
      </c>
      <c r="N45" s="89">
        <v>14</v>
      </c>
      <c r="O45" s="89">
        <v>3</v>
      </c>
      <c r="P45" s="88"/>
      <c r="Q45" s="92"/>
      <c r="R45" s="88"/>
      <c r="S45" s="88"/>
      <c r="T45" s="92"/>
      <c r="U45" s="92"/>
      <c r="V45" s="88"/>
      <c r="W45" s="92"/>
      <c r="X45" s="88"/>
      <c r="Y45" s="92"/>
      <c r="Z45" s="92"/>
      <c r="AA45" s="88"/>
      <c r="AB45" s="83" t="s">
        <v>94</v>
      </c>
      <c r="AC45" s="83" t="s">
        <v>94</v>
      </c>
      <c r="AD45" s="88"/>
      <c r="AE45" s="88"/>
      <c r="AF45" s="20">
        <f t="shared" si="8"/>
        <v>0</v>
      </c>
      <c r="AG45" s="13">
        <f t="shared" si="1"/>
        <v>0</v>
      </c>
      <c r="AH45" s="7">
        <f t="shared" si="2"/>
        <v>0</v>
      </c>
      <c r="AI45" s="7">
        <f t="shared" si="3"/>
        <v>0</v>
      </c>
      <c r="AJ45" s="7">
        <f t="shared" si="4"/>
        <v>0</v>
      </c>
      <c r="AK45" s="7">
        <f t="shared" si="5"/>
        <v>0</v>
      </c>
      <c r="AL45" s="12">
        <f t="shared" si="9"/>
        <v>0</v>
      </c>
      <c r="AM45" s="14" t="str">
        <f t="shared" si="7"/>
        <v>Passable</v>
      </c>
      <c r="AN45" s="88"/>
      <c r="AO45" s="92"/>
      <c r="AP45" s="83" t="s">
        <v>204</v>
      </c>
    </row>
    <row r="46" spans="1:42" x14ac:dyDescent="0.25">
      <c r="A46" s="84">
        <v>45168</v>
      </c>
      <c r="C46" s="83">
        <v>3703203</v>
      </c>
      <c r="D46" s="83" t="s">
        <v>115</v>
      </c>
      <c r="E46" s="85">
        <v>10</v>
      </c>
      <c r="F46" s="86">
        <v>514487.03437419399</v>
      </c>
      <c r="G46" s="86">
        <v>6042440.6276586996</v>
      </c>
      <c r="H46" s="85" t="s">
        <v>139</v>
      </c>
      <c r="I46" s="85" t="s">
        <v>138</v>
      </c>
      <c r="L46" s="83" t="s">
        <v>92</v>
      </c>
      <c r="M46" s="83" t="s">
        <v>93</v>
      </c>
      <c r="N46" s="89">
        <v>0.5</v>
      </c>
      <c r="O46" s="89">
        <v>15</v>
      </c>
      <c r="P46" s="83" t="s">
        <v>94</v>
      </c>
      <c r="Q46" s="92"/>
      <c r="R46" s="83" t="s">
        <v>94</v>
      </c>
      <c r="S46" s="83" t="s">
        <v>94</v>
      </c>
      <c r="T46" s="92"/>
      <c r="U46" s="89">
        <v>3.5</v>
      </c>
      <c r="V46" s="83">
        <v>0</v>
      </c>
      <c r="W46" s="89">
        <v>0</v>
      </c>
      <c r="X46" s="83" t="s">
        <v>94</v>
      </c>
      <c r="Y46" s="89">
        <v>3</v>
      </c>
      <c r="Z46" s="89">
        <v>1.2</v>
      </c>
      <c r="AA46" s="83">
        <v>1</v>
      </c>
      <c r="AB46" s="83" t="s">
        <v>94</v>
      </c>
      <c r="AC46" s="83" t="s">
        <v>94</v>
      </c>
      <c r="AD46" s="83" t="s">
        <v>96</v>
      </c>
      <c r="AE46" s="83"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83"/>
      <c r="AO46" s="89"/>
      <c r="AP46" s="83" t="s">
        <v>205</v>
      </c>
    </row>
    <row r="47" spans="1:42" ht="30" x14ac:dyDescent="0.25">
      <c r="A47" s="84">
        <v>45168</v>
      </c>
      <c r="C47" s="83">
        <v>2200301</v>
      </c>
      <c r="D47" s="83" t="s">
        <v>140</v>
      </c>
      <c r="E47" s="85">
        <v>10</v>
      </c>
      <c r="F47" s="86">
        <v>491030.21946055797</v>
      </c>
      <c r="G47" s="86">
        <v>6075923.9927968504</v>
      </c>
      <c r="H47" s="85" t="s">
        <v>141</v>
      </c>
      <c r="I47" s="85">
        <v>9200</v>
      </c>
      <c r="J47" s="93">
        <v>82.2</v>
      </c>
      <c r="L47" s="83" t="s">
        <v>92</v>
      </c>
      <c r="M47" s="83" t="s">
        <v>93</v>
      </c>
      <c r="N47" s="89">
        <v>1</v>
      </c>
      <c r="O47" s="89">
        <v>26</v>
      </c>
      <c r="P47" s="83" t="s">
        <v>94</v>
      </c>
      <c r="Q47" s="92"/>
      <c r="R47" s="83" t="s">
        <v>94</v>
      </c>
      <c r="S47" s="83" t="s">
        <v>94</v>
      </c>
      <c r="T47" s="92"/>
      <c r="U47" s="89">
        <v>2.5</v>
      </c>
      <c r="V47" s="83">
        <v>0.55000000000000004</v>
      </c>
      <c r="W47" s="89">
        <v>0.6</v>
      </c>
      <c r="X47" s="83" t="s">
        <v>94</v>
      </c>
      <c r="Y47" s="89">
        <v>4</v>
      </c>
      <c r="Z47" s="89">
        <v>3</v>
      </c>
      <c r="AA47" s="83">
        <v>1.5</v>
      </c>
      <c r="AB47" s="83" t="s">
        <v>94</v>
      </c>
      <c r="AC47" s="83" t="s">
        <v>94</v>
      </c>
      <c r="AD47" s="83" t="s">
        <v>96</v>
      </c>
      <c r="AE47" s="83" t="s">
        <v>99</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83"/>
      <c r="AO47" s="89"/>
      <c r="AP47" s="83" t="s">
        <v>206</v>
      </c>
    </row>
    <row r="48" spans="1:42" ht="30" x14ac:dyDescent="0.25">
      <c r="A48" s="84">
        <v>45168</v>
      </c>
      <c r="C48" s="83">
        <v>2201739</v>
      </c>
      <c r="D48" s="83" t="s">
        <v>142</v>
      </c>
      <c r="E48" s="85">
        <v>10</v>
      </c>
      <c r="F48" s="86">
        <v>491670.15389464702</v>
      </c>
      <c r="G48" s="86">
        <v>6075179.0681525096</v>
      </c>
      <c r="H48" s="85" t="s">
        <v>239</v>
      </c>
      <c r="I48" s="85" t="s">
        <v>143</v>
      </c>
      <c r="L48" s="83" t="s">
        <v>104</v>
      </c>
      <c r="N48" s="92"/>
      <c r="O48" s="92"/>
      <c r="P48" s="88"/>
      <c r="Q48" s="92"/>
      <c r="R48" s="88"/>
      <c r="S48" s="88"/>
      <c r="T48" s="92"/>
      <c r="U48" s="92"/>
      <c r="V48" s="88"/>
      <c r="W48" s="92"/>
      <c r="X48" s="88"/>
      <c r="Y48" s="92"/>
      <c r="Z48" s="92"/>
      <c r="AA48" s="88"/>
      <c r="AB48" s="83" t="s">
        <v>94</v>
      </c>
      <c r="AC48" s="83" t="s">
        <v>94</v>
      </c>
      <c r="AD48" s="88"/>
      <c r="AE48" s="88"/>
      <c r="AF48" s="20">
        <f t="shared" si="8"/>
        <v>0</v>
      </c>
      <c r="AG48" s="13">
        <f t="shared" si="1"/>
        <v>0</v>
      </c>
      <c r="AH48" s="7">
        <f t="shared" si="2"/>
        <v>0</v>
      </c>
      <c r="AI48" s="7">
        <f t="shared" si="3"/>
        <v>0</v>
      </c>
      <c r="AJ48" s="7">
        <f t="shared" si="4"/>
        <v>0</v>
      </c>
      <c r="AK48" s="7">
        <f t="shared" si="5"/>
        <v>0</v>
      </c>
      <c r="AL48" s="12">
        <f t="shared" si="9"/>
        <v>0</v>
      </c>
      <c r="AM48" s="14" t="str">
        <f t="shared" si="7"/>
        <v>Unknown</v>
      </c>
      <c r="AN48" s="88"/>
      <c r="AO48" s="92"/>
      <c r="AP48" s="83" t="s">
        <v>207</v>
      </c>
    </row>
    <row r="49" spans="1:42" ht="30" x14ac:dyDescent="0.25">
      <c r="A49" s="84">
        <v>45168</v>
      </c>
      <c r="C49" s="83">
        <v>2200987</v>
      </c>
      <c r="D49" s="83" t="s">
        <v>125</v>
      </c>
      <c r="E49" s="85">
        <v>10</v>
      </c>
      <c r="F49" s="86">
        <v>491638.92640708102</v>
      </c>
      <c r="G49" s="86">
        <v>6072900.7694226298</v>
      </c>
      <c r="H49" s="85" t="s">
        <v>239</v>
      </c>
      <c r="I49" s="85" t="s">
        <v>144</v>
      </c>
      <c r="L49" s="83" t="s">
        <v>92</v>
      </c>
      <c r="M49" s="83" t="s">
        <v>93</v>
      </c>
      <c r="N49" s="89">
        <v>1.2</v>
      </c>
      <c r="O49" s="89">
        <v>22</v>
      </c>
      <c r="P49" s="83" t="s">
        <v>94</v>
      </c>
      <c r="Q49" s="92"/>
      <c r="R49" s="83" t="s">
        <v>94</v>
      </c>
      <c r="S49" s="83" t="s">
        <v>94</v>
      </c>
      <c r="T49" s="92"/>
      <c r="U49" s="89">
        <v>2</v>
      </c>
      <c r="V49" s="83">
        <v>0</v>
      </c>
      <c r="W49" s="89">
        <v>0</v>
      </c>
      <c r="X49" s="83" t="s">
        <v>95</v>
      </c>
      <c r="Y49" s="89">
        <v>4</v>
      </c>
      <c r="Z49" s="89">
        <v>1</v>
      </c>
      <c r="AA49" s="83">
        <v>5.5</v>
      </c>
      <c r="AB49" s="83" t="s">
        <v>94</v>
      </c>
      <c r="AC49" s="83" t="s">
        <v>94</v>
      </c>
      <c r="AD49" s="83" t="s">
        <v>96</v>
      </c>
      <c r="AE49" s="83"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83"/>
      <c r="AO49" s="89"/>
      <c r="AP49" s="83" t="s">
        <v>208</v>
      </c>
    </row>
    <row r="50" spans="1:42" ht="30" x14ac:dyDescent="0.25">
      <c r="A50" s="84">
        <v>45168</v>
      </c>
      <c r="C50" s="83">
        <v>3702614</v>
      </c>
      <c r="D50" s="83" t="s">
        <v>145</v>
      </c>
      <c r="E50" s="85">
        <v>10</v>
      </c>
      <c r="F50" s="86">
        <v>496782.70263284497</v>
      </c>
      <c r="G50" s="86">
        <v>6054762.9893264202</v>
      </c>
      <c r="H50" s="85" t="s">
        <v>136</v>
      </c>
      <c r="I50" s="85" t="s">
        <v>240</v>
      </c>
      <c r="L50" s="83" t="s">
        <v>104</v>
      </c>
      <c r="N50" s="92"/>
      <c r="O50" s="92"/>
      <c r="P50" s="88"/>
      <c r="Q50" s="92"/>
      <c r="R50" s="88"/>
      <c r="S50" s="88"/>
      <c r="T50" s="92"/>
      <c r="U50" s="92"/>
      <c r="V50" s="88"/>
      <c r="W50" s="92"/>
      <c r="X50" s="88"/>
      <c r="Y50" s="92"/>
      <c r="Z50" s="92"/>
      <c r="AA50" s="88"/>
      <c r="AB50" s="83" t="s">
        <v>94</v>
      </c>
      <c r="AC50" s="83" t="s">
        <v>94</v>
      </c>
      <c r="AD50" s="88"/>
      <c r="AE50" s="88"/>
      <c r="AF50" s="20">
        <f t="shared" si="8"/>
        <v>0</v>
      </c>
      <c r="AG50" s="13">
        <f t="shared" si="1"/>
        <v>0</v>
      </c>
      <c r="AH50" s="7">
        <f t="shared" si="2"/>
        <v>0</v>
      </c>
      <c r="AI50" s="7">
        <f t="shared" si="3"/>
        <v>0</v>
      </c>
      <c r="AJ50" s="7">
        <f t="shared" si="4"/>
        <v>0</v>
      </c>
      <c r="AK50" s="7">
        <f t="shared" si="5"/>
        <v>0</v>
      </c>
      <c r="AL50" s="12">
        <f t="shared" si="9"/>
        <v>0</v>
      </c>
      <c r="AM50" s="14" t="str">
        <f t="shared" si="7"/>
        <v>Unknown</v>
      </c>
      <c r="AN50" s="88"/>
      <c r="AO50" s="92"/>
      <c r="AP50" s="83" t="s">
        <v>209</v>
      </c>
    </row>
    <row r="51" spans="1:42" ht="30" x14ac:dyDescent="0.25">
      <c r="A51" s="84">
        <v>45168</v>
      </c>
      <c r="C51" s="83">
        <v>3702455</v>
      </c>
      <c r="D51" s="83" t="s">
        <v>125</v>
      </c>
      <c r="E51" s="85">
        <v>10</v>
      </c>
      <c r="F51" s="86">
        <v>495632.37416325702</v>
      </c>
      <c r="G51" s="86">
        <v>6051511.9246880803</v>
      </c>
      <c r="H51" s="85" t="s">
        <v>136</v>
      </c>
      <c r="I51" s="85" t="s">
        <v>241</v>
      </c>
      <c r="L51" s="83" t="s">
        <v>92</v>
      </c>
      <c r="M51" s="83" t="s">
        <v>93</v>
      </c>
      <c r="N51" s="89">
        <v>1.75</v>
      </c>
      <c r="O51" s="89">
        <v>55</v>
      </c>
      <c r="P51" s="83" t="s">
        <v>94</v>
      </c>
      <c r="Q51" s="92"/>
      <c r="R51" s="83" t="s">
        <v>94</v>
      </c>
      <c r="S51" s="83" t="s">
        <v>94</v>
      </c>
      <c r="T51" s="92"/>
      <c r="U51" s="89">
        <v>5</v>
      </c>
      <c r="V51" s="83">
        <v>0.25</v>
      </c>
      <c r="W51" s="89">
        <v>0.4</v>
      </c>
      <c r="X51" s="83" t="s">
        <v>95</v>
      </c>
      <c r="Y51" s="89">
        <v>0</v>
      </c>
      <c r="Z51" s="89">
        <v>10</v>
      </c>
      <c r="AA51" s="83">
        <v>0</v>
      </c>
      <c r="AB51" s="83" t="s">
        <v>95</v>
      </c>
      <c r="AC51" s="83" t="s">
        <v>94</v>
      </c>
      <c r="AD51" s="83" t="s">
        <v>96</v>
      </c>
      <c r="AE51" s="83" t="s">
        <v>99</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83"/>
      <c r="AO51" s="89"/>
      <c r="AP51" s="83" t="s">
        <v>210</v>
      </c>
    </row>
    <row r="52" spans="1:42" ht="30" x14ac:dyDescent="0.25">
      <c r="A52" s="84">
        <v>45168</v>
      </c>
      <c r="C52" s="83">
        <v>3700783</v>
      </c>
      <c r="D52" s="83" t="s">
        <v>125</v>
      </c>
      <c r="E52" s="85">
        <v>10</v>
      </c>
      <c r="F52" s="86">
        <v>512463.22426940402</v>
      </c>
      <c r="G52" s="86">
        <v>6047486.9260761198</v>
      </c>
      <c r="H52" s="85" t="s">
        <v>123</v>
      </c>
      <c r="I52" s="85" t="s">
        <v>138</v>
      </c>
      <c r="L52" s="83" t="s">
        <v>112</v>
      </c>
      <c r="M52" s="83" t="s">
        <v>113</v>
      </c>
      <c r="N52" s="89">
        <v>13</v>
      </c>
      <c r="O52" s="89">
        <v>5</v>
      </c>
      <c r="P52" s="88"/>
      <c r="Q52" s="92"/>
      <c r="R52" s="88"/>
      <c r="S52" s="88"/>
      <c r="T52" s="92"/>
      <c r="U52" s="92"/>
      <c r="V52" s="88"/>
      <c r="W52" s="92"/>
      <c r="X52" s="88"/>
      <c r="Y52" s="92"/>
      <c r="Z52" s="92"/>
      <c r="AA52" s="88"/>
      <c r="AB52" s="83" t="s">
        <v>94</v>
      </c>
      <c r="AC52" s="83" t="s">
        <v>94</v>
      </c>
      <c r="AD52" s="88"/>
      <c r="AE52" s="88"/>
      <c r="AF52" s="20">
        <f t="shared" si="8"/>
        <v>0</v>
      </c>
      <c r="AG52" s="13">
        <f t="shared" si="1"/>
        <v>0</v>
      </c>
      <c r="AH52" s="7">
        <f t="shared" si="2"/>
        <v>0</v>
      </c>
      <c r="AI52" s="7">
        <f t="shared" si="3"/>
        <v>0</v>
      </c>
      <c r="AJ52" s="7">
        <f t="shared" si="4"/>
        <v>0</v>
      </c>
      <c r="AK52" s="7">
        <f t="shared" si="5"/>
        <v>0</v>
      </c>
      <c r="AL52" s="12">
        <f t="shared" si="9"/>
        <v>0</v>
      </c>
      <c r="AM52" s="14" t="str">
        <f t="shared" si="7"/>
        <v>Passable</v>
      </c>
      <c r="AN52" s="88"/>
      <c r="AO52" s="92"/>
    </row>
    <row r="53" spans="1:42" ht="30" x14ac:dyDescent="0.25">
      <c r="A53" s="84">
        <v>45168</v>
      </c>
      <c r="C53" s="83">
        <v>3703210</v>
      </c>
      <c r="D53" s="83" t="s">
        <v>125</v>
      </c>
      <c r="E53" s="85">
        <v>10</v>
      </c>
      <c r="F53" s="86">
        <v>515195.71416025399</v>
      </c>
      <c r="G53" s="86">
        <v>6040682.0368776601</v>
      </c>
      <c r="H53" s="85" t="s">
        <v>146</v>
      </c>
      <c r="I53" s="85" t="s">
        <v>147</v>
      </c>
      <c r="J53" s="93">
        <v>116</v>
      </c>
      <c r="L53" s="83" t="s">
        <v>92</v>
      </c>
      <c r="M53" s="83" t="s">
        <v>93</v>
      </c>
      <c r="N53" s="89">
        <v>1</v>
      </c>
      <c r="O53" s="89">
        <v>13</v>
      </c>
      <c r="P53" s="83" t="s">
        <v>94</v>
      </c>
      <c r="Q53" s="92"/>
      <c r="R53" s="83" t="s">
        <v>94</v>
      </c>
      <c r="S53" s="83" t="s">
        <v>94</v>
      </c>
      <c r="T53" s="92"/>
      <c r="U53" s="89">
        <v>1</v>
      </c>
      <c r="V53" s="83">
        <v>0</v>
      </c>
      <c r="W53" s="89">
        <v>0.3</v>
      </c>
      <c r="X53" s="83" t="s">
        <v>94</v>
      </c>
      <c r="Y53" s="89">
        <v>1.5</v>
      </c>
      <c r="Z53" s="89">
        <v>2.4</v>
      </c>
      <c r="AA53" s="83">
        <v>0.5</v>
      </c>
      <c r="AB53" s="83" t="s">
        <v>94</v>
      </c>
      <c r="AC53" s="83" t="s">
        <v>94</v>
      </c>
      <c r="AD53" s="83" t="s">
        <v>96</v>
      </c>
      <c r="AE53" s="83" t="s">
        <v>99</v>
      </c>
      <c r="AF53" s="20">
        <f t="shared" si="8"/>
        <v>2.4</v>
      </c>
      <c r="AG53" s="13">
        <f t="shared" si="1"/>
        <v>0</v>
      </c>
      <c r="AH53" s="7">
        <f t="shared" si="2"/>
        <v>10</v>
      </c>
      <c r="AI53" s="7">
        <f t="shared" si="3"/>
        <v>0</v>
      </c>
      <c r="AJ53" s="7">
        <f t="shared" si="4"/>
        <v>5</v>
      </c>
      <c r="AK53" s="7">
        <f t="shared" si="5"/>
        <v>6</v>
      </c>
      <c r="AL53" s="12">
        <f t="shared" si="9"/>
        <v>21</v>
      </c>
      <c r="AM53" s="14" t="str">
        <f t="shared" si="7"/>
        <v>Barrier</v>
      </c>
      <c r="AN53" s="83"/>
      <c r="AO53" s="89"/>
      <c r="AP53" s="83" t="s">
        <v>211</v>
      </c>
    </row>
    <row r="54" spans="1:42" ht="30" x14ac:dyDescent="0.25">
      <c r="A54" s="84">
        <v>45169</v>
      </c>
      <c r="C54" s="83">
        <v>3703209</v>
      </c>
      <c r="D54" s="83" t="s">
        <v>242</v>
      </c>
      <c r="E54" s="85">
        <v>10</v>
      </c>
      <c r="F54" s="86">
        <v>518240.88921776402</v>
      </c>
      <c r="G54" s="86">
        <v>6034399.2667581998</v>
      </c>
      <c r="H54" s="85" t="s">
        <v>123</v>
      </c>
      <c r="I54" s="85" t="s">
        <v>138</v>
      </c>
      <c r="L54" s="83" t="s">
        <v>92</v>
      </c>
      <c r="M54" s="83" t="s">
        <v>93</v>
      </c>
      <c r="N54" s="89">
        <v>3.6</v>
      </c>
      <c r="O54" s="89">
        <v>12.2</v>
      </c>
      <c r="P54" s="83" t="s">
        <v>94</v>
      </c>
      <c r="Q54" s="92"/>
      <c r="R54" s="83" t="s">
        <v>94</v>
      </c>
      <c r="S54" s="83" t="s">
        <v>94</v>
      </c>
      <c r="T54" s="92"/>
      <c r="U54" s="89">
        <v>0.6</v>
      </c>
      <c r="V54" s="83">
        <v>0</v>
      </c>
      <c r="W54" s="89">
        <v>0</v>
      </c>
      <c r="X54" s="83" t="s">
        <v>94</v>
      </c>
      <c r="Y54" s="89">
        <v>2</v>
      </c>
      <c r="Z54" s="89">
        <v>4</v>
      </c>
      <c r="AA54" s="83">
        <v>1.5</v>
      </c>
      <c r="AB54" s="83" t="s">
        <v>94</v>
      </c>
      <c r="AC54" s="83" t="s">
        <v>94</v>
      </c>
      <c r="AD54" s="83" t="s">
        <v>96</v>
      </c>
      <c r="AE54" s="83"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83"/>
      <c r="AO54" s="89"/>
      <c r="AP54" s="83" t="s">
        <v>212</v>
      </c>
    </row>
    <row r="55" spans="1:42" ht="30" x14ac:dyDescent="0.25">
      <c r="A55" s="84">
        <v>45169</v>
      </c>
      <c r="C55" s="83">
        <v>2200799</v>
      </c>
      <c r="D55" s="83" t="s">
        <v>242</v>
      </c>
      <c r="E55" s="85">
        <v>10</v>
      </c>
      <c r="F55" s="86">
        <v>499080.27030025102</v>
      </c>
      <c r="G55" s="86">
        <v>6094095.3727731202</v>
      </c>
      <c r="H55" s="85" t="s">
        <v>148</v>
      </c>
      <c r="I55" s="85" t="s">
        <v>149</v>
      </c>
      <c r="L55" s="83" t="s">
        <v>112</v>
      </c>
      <c r="M55" s="83" t="s">
        <v>113</v>
      </c>
      <c r="N55" s="89">
        <v>19.600000000000001</v>
      </c>
      <c r="O55" s="89">
        <v>4</v>
      </c>
      <c r="P55" s="88"/>
      <c r="Q55" s="92"/>
      <c r="R55" s="88"/>
      <c r="S55" s="88"/>
      <c r="T55" s="92"/>
      <c r="U55" s="92"/>
      <c r="V55" s="88"/>
      <c r="W55" s="92"/>
      <c r="X55" s="88"/>
      <c r="Y55" s="92"/>
      <c r="Z55" s="92"/>
      <c r="AA55" s="88"/>
      <c r="AB55" s="83" t="s">
        <v>94</v>
      </c>
      <c r="AC55" s="83" t="s">
        <v>94</v>
      </c>
      <c r="AD55" s="88"/>
      <c r="AE55" s="88"/>
      <c r="AF55" s="20">
        <f t="shared" si="8"/>
        <v>0</v>
      </c>
      <c r="AG55" s="13">
        <f t="shared" si="1"/>
        <v>0</v>
      </c>
      <c r="AH55" s="7">
        <f t="shared" si="2"/>
        <v>0</v>
      </c>
      <c r="AI55" s="7">
        <f t="shared" si="3"/>
        <v>0</v>
      </c>
      <c r="AJ55" s="7">
        <f t="shared" si="4"/>
        <v>0</v>
      </c>
      <c r="AK55" s="7">
        <f t="shared" si="5"/>
        <v>0</v>
      </c>
      <c r="AL55" s="12">
        <f t="shared" si="9"/>
        <v>0</v>
      </c>
      <c r="AM55" s="14" t="str">
        <f t="shared" si="7"/>
        <v>Passable</v>
      </c>
      <c r="AN55" s="88"/>
      <c r="AO55" s="92"/>
    </row>
    <row r="56" spans="1:42" ht="30" x14ac:dyDescent="0.25">
      <c r="A56" s="84">
        <v>45169</v>
      </c>
      <c r="C56" s="83">
        <v>3702919</v>
      </c>
      <c r="D56" s="83" t="s">
        <v>150</v>
      </c>
      <c r="E56" s="85">
        <v>10</v>
      </c>
      <c r="F56" s="86">
        <v>509951.74196599203</v>
      </c>
      <c r="G56" s="86">
        <v>6040984.40871464</v>
      </c>
      <c r="H56" s="85" t="s">
        <v>123</v>
      </c>
      <c r="I56" s="85" t="s">
        <v>151</v>
      </c>
      <c r="L56" s="83" t="s">
        <v>92</v>
      </c>
      <c r="M56" s="83" t="s">
        <v>93</v>
      </c>
      <c r="N56" s="89">
        <v>1.75</v>
      </c>
      <c r="O56" s="89">
        <v>30</v>
      </c>
      <c r="P56" s="83" t="s">
        <v>94</v>
      </c>
      <c r="Q56" s="92"/>
      <c r="R56" s="83" t="s">
        <v>94</v>
      </c>
      <c r="S56" s="83" t="s">
        <v>94</v>
      </c>
      <c r="T56" s="92"/>
      <c r="U56" s="89">
        <v>4</v>
      </c>
      <c r="V56" s="83">
        <v>1.1000000000000001</v>
      </c>
      <c r="W56" s="89">
        <v>0.65</v>
      </c>
      <c r="X56" s="83" t="s">
        <v>95</v>
      </c>
      <c r="Y56" s="89">
        <v>3</v>
      </c>
      <c r="Z56" s="89">
        <v>4.3</v>
      </c>
      <c r="AA56" s="83">
        <v>2.5</v>
      </c>
      <c r="AB56" s="83" t="s">
        <v>94</v>
      </c>
      <c r="AC56" s="83" t="s">
        <v>94</v>
      </c>
      <c r="AD56" s="83" t="s">
        <v>96</v>
      </c>
      <c r="AE56" s="83" t="s">
        <v>99</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83"/>
      <c r="AO56" s="89"/>
      <c r="AP56" s="83" t="s">
        <v>213</v>
      </c>
    </row>
    <row r="57" spans="1:42" ht="30" x14ac:dyDescent="0.25">
      <c r="A57" s="84">
        <v>45169</v>
      </c>
      <c r="C57" s="83">
        <v>3702923</v>
      </c>
      <c r="D57" s="83" t="s">
        <v>152</v>
      </c>
      <c r="E57" s="85">
        <v>10</v>
      </c>
      <c r="F57" s="86">
        <v>510784.97479999397</v>
      </c>
      <c r="G57" s="86">
        <v>6040577.7526618596</v>
      </c>
      <c r="H57" s="85" t="s">
        <v>123</v>
      </c>
      <c r="I57" s="85" t="s">
        <v>151</v>
      </c>
      <c r="J57" s="93">
        <v>22.5</v>
      </c>
      <c r="L57" s="83" t="s">
        <v>92</v>
      </c>
      <c r="M57" s="83" t="s">
        <v>93</v>
      </c>
      <c r="N57" s="89">
        <v>1.75</v>
      </c>
      <c r="O57" s="89">
        <v>43</v>
      </c>
      <c r="P57" s="83" t="s">
        <v>94</v>
      </c>
      <c r="Q57" s="92"/>
      <c r="R57" s="83" t="s">
        <v>94</v>
      </c>
      <c r="S57" s="83" t="s">
        <v>94</v>
      </c>
      <c r="T57" s="92"/>
      <c r="U57" s="89">
        <v>9</v>
      </c>
      <c r="V57" s="83">
        <v>0.4</v>
      </c>
      <c r="W57" s="89">
        <v>0.63</v>
      </c>
      <c r="X57" s="83" t="s">
        <v>94</v>
      </c>
      <c r="Y57" s="89">
        <v>3</v>
      </c>
      <c r="Z57" s="89">
        <v>2.7</v>
      </c>
      <c r="AA57" s="83">
        <v>2</v>
      </c>
      <c r="AB57" s="83" t="s">
        <v>94</v>
      </c>
      <c r="AC57" s="83" t="s">
        <v>94</v>
      </c>
      <c r="AD57" s="83" t="s">
        <v>96</v>
      </c>
      <c r="AE57" s="83" t="s">
        <v>99</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83"/>
      <c r="AO57" s="89"/>
      <c r="AP57" s="83" t="s">
        <v>214</v>
      </c>
    </row>
    <row r="58" spans="1:42" ht="30" x14ac:dyDescent="0.25">
      <c r="A58" s="84">
        <v>45169</v>
      </c>
      <c r="C58" s="83">
        <v>3702924</v>
      </c>
      <c r="D58" s="83" t="s">
        <v>150</v>
      </c>
      <c r="E58" s="85">
        <v>10</v>
      </c>
      <c r="F58" s="86">
        <v>511000.45261665602</v>
      </c>
      <c r="G58" s="86">
        <v>6040479.4553780397</v>
      </c>
      <c r="H58" s="85" t="s">
        <v>153</v>
      </c>
      <c r="I58" s="85" t="s">
        <v>151</v>
      </c>
      <c r="L58" s="83" t="s">
        <v>92</v>
      </c>
      <c r="M58" s="83" t="s">
        <v>93</v>
      </c>
      <c r="N58" s="89">
        <v>2.1</v>
      </c>
      <c r="O58" s="89">
        <v>47</v>
      </c>
      <c r="P58" s="83" t="s">
        <v>94</v>
      </c>
      <c r="Q58" s="92"/>
      <c r="R58" s="83" t="s">
        <v>94</v>
      </c>
      <c r="S58" s="83" t="s">
        <v>94</v>
      </c>
      <c r="T58" s="92"/>
      <c r="U58" s="89">
        <v>9</v>
      </c>
      <c r="V58" s="83">
        <v>0.2</v>
      </c>
      <c r="W58" s="89">
        <v>0.3</v>
      </c>
      <c r="X58" s="83" t="s">
        <v>94</v>
      </c>
      <c r="Y58" s="89">
        <v>3</v>
      </c>
      <c r="Z58" s="89">
        <v>3.4</v>
      </c>
      <c r="AA58" s="83">
        <v>2</v>
      </c>
      <c r="AB58" s="83" t="s">
        <v>94</v>
      </c>
      <c r="AC58" s="83" t="s">
        <v>94</v>
      </c>
      <c r="AD58" s="83" t="s">
        <v>96</v>
      </c>
      <c r="AE58" s="83" t="s">
        <v>99</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83"/>
      <c r="AO58" s="89"/>
      <c r="AP58" s="83" t="s">
        <v>215</v>
      </c>
    </row>
    <row r="59" spans="1:42" ht="30" x14ac:dyDescent="0.25">
      <c r="A59" s="84">
        <v>45169</v>
      </c>
      <c r="C59" s="83">
        <v>2023083101</v>
      </c>
      <c r="D59" s="83" t="s">
        <v>150</v>
      </c>
      <c r="E59" s="85">
        <v>10</v>
      </c>
      <c r="F59" s="86">
        <v>497758.40904267703</v>
      </c>
      <c r="G59" s="86">
        <v>6093673.6291485196</v>
      </c>
      <c r="H59" s="85" t="s">
        <v>154</v>
      </c>
      <c r="I59" s="85" t="s">
        <v>155</v>
      </c>
      <c r="L59" s="83" t="s">
        <v>92</v>
      </c>
      <c r="M59" s="83" t="s">
        <v>93</v>
      </c>
      <c r="N59" s="89">
        <v>1.2</v>
      </c>
      <c r="O59" s="89">
        <v>7.5</v>
      </c>
      <c r="P59" s="83" t="s">
        <v>94</v>
      </c>
      <c r="Q59" s="92"/>
      <c r="R59" s="83" t="s">
        <v>94</v>
      </c>
      <c r="S59" s="83" t="s">
        <v>94</v>
      </c>
      <c r="T59" s="92"/>
      <c r="U59" s="89">
        <v>0.5</v>
      </c>
      <c r="V59" s="83">
        <v>0</v>
      </c>
      <c r="W59" s="89">
        <v>0.3</v>
      </c>
      <c r="X59" s="83" t="s">
        <v>95</v>
      </c>
      <c r="Y59" s="89">
        <v>5</v>
      </c>
      <c r="Z59" s="89">
        <v>2.2999999999999998</v>
      </c>
      <c r="AA59" s="83">
        <v>2</v>
      </c>
      <c r="AB59" s="83" t="s">
        <v>95</v>
      </c>
      <c r="AC59" s="83" t="s">
        <v>94</v>
      </c>
      <c r="AD59" s="83" t="s">
        <v>96</v>
      </c>
      <c r="AE59" s="83" t="s">
        <v>99</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83"/>
      <c r="AO59" s="89"/>
      <c r="AP59" s="83" t="s">
        <v>216</v>
      </c>
    </row>
    <row r="60" spans="1:42" ht="30" x14ac:dyDescent="0.25">
      <c r="A60" s="84">
        <v>45170</v>
      </c>
      <c r="C60" s="83">
        <v>3701326</v>
      </c>
      <c r="D60" s="83" t="s">
        <v>115</v>
      </c>
      <c r="E60" s="85">
        <v>10</v>
      </c>
      <c r="F60" s="86">
        <v>512973.33058969898</v>
      </c>
      <c r="G60" s="86">
        <v>6072306.6066989396</v>
      </c>
      <c r="H60" s="85" t="s">
        <v>156</v>
      </c>
      <c r="I60" s="85" t="s">
        <v>157</v>
      </c>
      <c r="L60" s="83" t="s">
        <v>112</v>
      </c>
      <c r="M60" s="83" t="s">
        <v>113</v>
      </c>
      <c r="N60" s="89">
        <v>7</v>
      </c>
      <c r="O60" s="89">
        <v>4</v>
      </c>
      <c r="P60" s="88"/>
      <c r="Q60" s="92"/>
      <c r="R60" s="88"/>
      <c r="S60" s="88"/>
      <c r="T60" s="92"/>
      <c r="U60" s="92"/>
      <c r="V60" s="88"/>
      <c r="W60" s="92"/>
      <c r="X60" s="88"/>
      <c r="Y60" s="92"/>
      <c r="Z60" s="92"/>
      <c r="AA60" s="88"/>
      <c r="AB60" s="83" t="s">
        <v>94</v>
      </c>
      <c r="AC60" s="83" t="s">
        <v>94</v>
      </c>
      <c r="AD60" s="88"/>
      <c r="AE60" s="88"/>
      <c r="AF60" s="20">
        <f t="shared" si="8"/>
        <v>0</v>
      </c>
      <c r="AG60" s="13">
        <f t="shared" si="1"/>
        <v>0</v>
      </c>
      <c r="AH60" s="7">
        <f t="shared" si="2"/>
        <v>0</v>
      </c>
      <c r="AI60" s="7">
        <f t="shared" si="3"/>
        <v>0</v>
      </c>
      <c r="AJ60" s="7">
        <f t="shared" si="4"/>
        <v>0</v>
      </c>
      <c r="AK60" s="7">
        <f t="shared" si="5"/>
        <v>0</v>
      </c>
      <c r="AL60" s="12">
        <f t="shared" si="9"/>
        <v>0</v>
      </c>
      <c r="AM60" s="14" t="str">
        <f t="shared" si="7"/>
        <v>Passable</v>
      </c>
      <c r="AN60" s="88"/>
      <c r="AO60" s="92"/>
      <c r="AP60" s="83" t="s">
        <v>217</v>
      </c>
    </row>
    <row r="61" spans="1:42" x14ac:dyDescent="0.25">
      <c r="A61" s="84">
        <v>45170</v>
      </c>
      <c r="C61" s="83">
        <v>370033</v>
      </c>
      <c r="D61" s="83" t="s">
        <v>115</v>
      </c>
      <c r="E61" s="85">
        <v>10</v>
      </c>
      <c r="F61" s="86">
        <v>512837.13864966098</v>
      </c>
      <c r="G61" s="86">
        <v>6072244.9127350301</v>
      </c>
      <c r="H61" s="85" t="s">
        <v>129</v>
      </c>
      <c r="I61" s="85" t="s">
        <v>157</v>
      </c>
      <c r="L61" s="83" t="s">
        <v>92</v>
      </c>
      <c r="M61" s="83" t="s">
        <v>93</v>
      </c>
      <c r="N61" s="89">
        <v>0.5</v>
      </c>
      <c r="O61" s="89">
        <v>7</v>
      </c>
      <c r="P61" s="83" t="s">
        <v>94</v>
      </c>
      <c r="Q61" s="92"/>
      <c r="R61" s="83" t="s">
        <v>94</v>
      </c>
      <c r="S61" s="83" t="s">
        <v>94</v>
      </c>
      <c r="T61" s="92"/>
      <c r="U61" s="89">
        <v>1.5</v>
      </c>
      <c r="V61" s="83">
        <v>0</v>
      </c>
      <c r="W61" s="89">
        <v>0</v>
      </c>
      <c r="X61" s="83" t="s">
        <v>94</v>
      </c>
      <c r="Y61" s="89">
        <v>2</v>
      </c>
      <c r="Z61" s="89">
        <v>1.6</v>
      </c>
      <c r="AA61" s="83">
        <v>2.5</v>
      </c>
      <c r="AB61" s="83" t="s">
        <v>94</v>
      </c>
      <c r="AC61" s="83" t="s">
        <v>94</v>
      </c>
      <c r="AD61" s="83" t="s">
        <v>96</v>
      </c>
      <c r="AE61" s="83"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83"/>
      <c r="AO61" s="89"/>
      <c r="AP61" s="83" t="s">
        <v>218</v>
      </c>
    </row>
    <row r="62" spans="1:42" ht="30" x14ac:dyDescent="0.25">
      <c r="A62" s="84">
        <v>45170</v>
      </c>
      <c r="C62" s="83">
        <v>3700192</v>
      </c>
      <c r="D62" s="83" t="s">
        <v>115</v>
      </c>
      <c r="E62" s="85">
        <v>10</v>
      </c>
      <c r="F62" s="86">
        <v>520582.68499606702</v>
      </c>
      <c r="G62" s="86">
        <v>6037949.3416053904</v>
      </c>
      <c r="H62" s="85" t="s">
        <v>123</v>
      </c>
      <c r="I62" s="85" t="s">
        <v>149</v>
      </c>
      <c r="L62" s="83" t="s">
        <v>92</v>
      </c>
      <c r="M62" s="83" t="s">
        <v>93</v>
      </c>
      <c r="N62" s="89">
        <v>1.2</v>
      </c>
      <c r="O62" s="89">
        <v>15</v>
      </c>
      <c r="P62" s="83" t="s">
        <v>94</v>
      </c>
      <c r="Q62" s="92"/>
      <c r="R62" s="83" t="s">
        <v>94</v>
      </c>
      <c r="S62" s="83" t="s">
        <v>94</v>
      </c>
      <c r="T62" s="92"/>
      <c r="U62" s="89">
        <v>3.5</v>
      </c>
      <c r="V62" s="83">
        <v>0</v>
      </c>
      <c r="W62" s="89">
        <v>0</v>
      </c>
      <c r="X62" s="83" t="s">
        <v>94</v>
      </c>
      <c r="Y62" s="89">
        <v>1</v>
      </c>
      <c r="Z62" s="89">
        <v>1.2</v>
      </c>
      <c r="AA62" s="83">
        <v>1.5</v>
      </c>
      <c r="AB62" s="83" t="s">
        <v>94</v>
      </c>
      <c r="AC62" s="83" t="s">
        <v>94</v>
      </c>
      <c r="AD62" s="83" t="s">
        <v>96</v>
      </c>
      <c r="AE62" s="83"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83"/>
      <c r="AO62" s="89"/>
      <c r="AP62" s="83" t="s">
        <v>219</v>
      </c>
    </row>
    <row r="63" spans="1:42" x14ac:dyDescent="0.25">
      <c r="A63" s="84">
        <v>45170</v>
      </c>
      <c r="C63" s="83">
        <v>3702076</v>
      </c>
      <c r="D63" s="83" t="s">
        <v>158</v>
      </c>
      <c r="E63" s="85">
        <v>10</v>
      </c>
      <c r="F63" s="86">
        <v>521415.18234987999</v>
      </c>
      <c r="G63" s="86">
        <v>6018921.1401842497</v>
      </c>
      <c r="H63" s="85" t="s">
        <v>159</v>
      </c>
      <c r="I63" s="85" t="s">
        <v>120</v>
      </c>
      <c r="L63" s="83" t="s">
        <v>112</v>
      </c>
      <c r="M63" s="83" t="s">
        <v>113</v>
      </c>
      <c r="N63" s="89">
        <v>13</v>
      </c>
      <c r="O63" s="89">
        <v>4.8</v>
      </c>
      <c r="P63" s="88"/>
      <c r="Q63" s="92"/>
      <c r="R63" s="88"/>
      <c r="S63" s="88"/>
      <c r="T63" s="92"/>
      <c r="U63" s="92"/>
      <c r="V63" s="88"/>
      <c r="W63" s="92"/>
      <c r="X63" s="88"/>
      <c r="Y63" s="92"/>
      <c r="Z63" s="92"/>
      <c r="AA63" s="88"/>
      <c r="AB63" s="83" t="s">
        <v>94</v>
      </c>
      <c r="AC63" s="83" t="s">
        <v>94</v>
      </c>
      <c r="AD63" s="88"/>
      <c r="AE63" s="88"/>
      <c r="AF63" s="20">
        <f t="shared" si="8"/>
        <v>0</v>
      </c>
      <c r="AG63" s="13">
        <f t="shared" si="1"/>
        <v>0</v>
      </c>
      <c r="AH63" s="7">
        <f t="shared" si="2"/>
        <v>0</v>
      </c>
      <c r="AI63" s="7">
        <f t="shared" si="3"/>
        <v>0</v>
      </c>
      <c r="AJ63" s="7">
        <f t="shared" si="4"/>
        <v>0</v>
      </c>
      <c r="AK63" s="7">
        <f t="shared" si="5"/>
        <v>0</v>
      </c>
      <c r="AL63" s="12">
        <f t="shared" si="9"/>
        <v>0</v>
      </c>
      <c r="AM63" s="14" t="str">
        <f t="shared" si="7"/>
        <v>Passable</v>
      </c>
      <c r="AN63" s="88"/>
      <c r="AO63" s="92"/>
      <c r="AP63" s="83" t="s">
        <v>220</v>
      </c>
    </row>
    <row r="64" spans="1:42" x14ac:dyDescent="0.25">
      <c r="A64" s="84">
        <v>45170</v>
      </c>
      <c r="C64" s="83">
        <v>3702074</v>
      </c>
      <c r="D64" s="83" t="s">
        <v>115</v>
      </c>
      <c r="E64" s="85">
        <v>10</v>
      </c>
      <c r="F64" s="86">
        <v>518848.02311069402</v>
      </c>
      <c r="G64" s="86">
        <v>6017917.4325442296</v>
      </c>
      <c r="H64" s="85" t="s">
        <v>160</v>
      </c>
      <c r="I64" s="85" t="s">
        <v>120</v>
      </c>
      <c r="L64" s="83" t="s">
        <v>92</v>
      </c>
      <c r="M64" s="83" t="s">
        <v>93</v>
      </c>
      <c r="N64" s="89">
        <v>0.6</v>
      </c>
      <c r="O64" s="89">
        <v>13</v>
      </c>
      <c r="P64" s="83" t="s">
        <v>94</v>
      </c>
      <c r="Q64" s="92"/>
      <c r="R64" s="83" t="s">
        <v>94</v>
      </c>
      <c r="S64" s="83" t="s">
        <v>95</v>
      </c>
      <c r="T64" s="89">
        <v>100</v>
      </c>
      <c r="U64" s="89">
        <v>1</v>
      </c>
      <c r="V64" s="83">
        <v>0</v>
      </c>
      <c r="W64" s="89">
        <v>0.7</v>
      </c>
      <c r="X64" s="83" t="s">
        <v>94</v>
      </c>
      <c r="Y64" s="89">
        <v>4</v>
      </c>
      <c r="Z64" s="89">
        <v>1.2</v>
      </c>
      <c r="AA64" s="83">
        <v>1.5</v>
      </c>
      <c r="AB64" s="83" t="s">
        <v>94</v>
      </c>
      <c r="AC64" s="83" t="s">
        <v>95</v>
      </c>
      <c r="AD64" s="83" t="s">
        <v>96</v>
      </c>
      <c r="AE64" s="83"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83"/>
      <c r="AO64" s="89"/>
      <c r="AP64" s="83" t="s">
        <v>221</v>
      </c>
    </row>
    <row r="65" spans="1:42" x14ac:dyDescent="0.25">
      <c r="A65" s="84">
        <v>45170</v>
      </c>
      <c r="C65" s="83">
        <v>3702077</v>
      </c>
      <c r="D65" s="83" t="s">
        <v>115</v>
      </c>
      <c r="E65" s="85">
        <v>10</v>
      </c>
      <c r="F65" s="86">
        <v>517337.71275192301</v>
      </c>
      <c r="G65" s="86">
        <v>6018000.3555349903</v>
      </c>
      <c r="H65" s="85" t="s">
        <v>161</v>
      </c>
      <c r="I65" s="85" t="s">
        <v>120</v>
      </c>
      <c r="J65" s="93">
        <v>31</v>
      </c>
      <c r="L65" s="83" t="s">
        <v>92</v>
      </c>
      <c r="M65" s="83" t="s">
        <v>93</v>
      </c>
      <c r="N65" s="89">
        <v>0.7</v>
      </c>
      <c r="O65" s="89">
        <v>12</v>
      </c>
      <c r="P65" s="83" t="s">
        <v>94</v>
      </c>
      <c r="Q65" s="92"/>
      <c r="R65" s="83" t="s">
        <v>94</v>
      </c>
      <c r="S65" s="83" t="s">
        <v>95</v>
      </c>
      <c r="T65" s="89">
        <v>100</v>
      </c>
      <c r="U65" s="89">
        <v>1.5</v>
      </c>
      <c r="V65" s="83">
        <v>0</v>
      </c>
      <c r="W65" s="89">
        <v>0.4</v>
      </c>
      <c r="X65" s="83" t="s">
        <v>94</v>
      </c>
      <c r="Y65" s="89">
        <v>0.5</v>
      </c>
      <c r="Z65" s="89">
        <v>1.9</v>
      </c>
      <c r="AA65" s="83">
        <v>3</v>
      </c>
      <c r="AB65" s="83" t="s">
        <v>95</v>
      </c>
      <c r="AC65" s="83" t="s">
        <v>95</v>
      </c>
      <c r="AD65" s="83" t="s">
        <v>96</v>
      </c>
      <c r="AE65" s="83" t="s">
        <v>99</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83"/>
      <c r="AO65" s="89"/>
      <c r="AP65" s="83" t="s">
        <v>222</v>
      </c>
    </row>
    <row r="66" spans="1:42" ht="30" x14ac:dyDescent="0.25">
      <c r="A66" s="84">
        <v>45170</v>
      </c>
      <c r="C66" s="83">
        <v>3702073</v>
      </c>
      <c r="D66" s="83" t="s">
        <v>115</v>
      </c>
      <c r="E66" s="85">
        <v>10</v>
      </c>
      <c r="F66" s="86">
        <v>516959.52171313699</v>
      </c>
      <c r="G66" s="86">
        <v>6018229.2164875697</v>
      </c>
      <c r="H66" s="85" t="s">
        <v>162</v>
      </c>
      <c r="I66" s="85" t="s">
        <v>120</v>
      </c>
      <c r="L66" s="83" t="s">
        <v>92</v>
      </c>
      <c r="M66" s="83" t="s">
        <v>93</v>
      </c>
      <c r="N66" s="89">
        <v>0.6</v>
      </c>
      <c r="O66" s="89">
        <v>13</v>
      </c>
      <c r="P66" s="83" t="s">
        <v>94</v>
      </c>
      <c r="Q66" s="92"/>
      <c r="R66" s="83" t="s">
        <v>94</v>
      </c>
      <c r="S66" s="83" t="s">
        <v>94</v>
      </c>
      <c r="T66" s="92"/>
      <c r="U66" s="89">
        <v>0.5</v>
      </c>
      <c r="V66" s="83">
        <v>0</v>
      </c>
      <c r="W66" s="89">
        <v>0</v>
      </c>
      <c r="X66" s="83" t="s">
        <v>94</v>
      </c>
      <c r="Y66" s="89">
        <v>2</v>
      </c>
      <c r="Z66" s="89">
        <v>1.7</v>
      </c>
      <c r="AA66" s="83">
        <v>1.5</v>
      </c>
      <c r="AB66" s="83" t="s">
        <v>94</v>
      </c>
      <c r="AC66" s="83" t="s">
        <v>94</v>
      </c>
      <c r="AD66" s="83" t="s">
        <v>96</v>
      </c>
      <c r="AE66" s="83"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83"/>
      <c r="AO66" s="89"/>
      <c r="AP66" s="83" t="s">
        <v>223</v>
      </c>
    </row>
    <row r="67" spans="1:42" x14ac:dyDescent="0.25">
      <c r="A67" s="84">
        <v>45170</v>
      </c>
      <c r="C67" s="83">
        <v>3700931</v>
      </c>
      <c r="D67" s="83" t="s">
        <v>115</v>
      </c>
      <c r="E67" s="85">
        <v>10</v>
      </c>
      <c r="F67" s="86">
        <v>519546.89035942301</v>
      </c>
      <c r="G67" s="86">
        <v>6017741.6506373202</v>
      </c>
      <c r="H67" s="85" t="s">
        <v>160</v>
      </c>
      <c r="I67" s="85" t="s">
        <v>149</v>
      </c>
      <c r="L67" s="83" t="s">
        <v>112</v>
      </c>
      <c r="M67" s="83" t="s">
        <v>113</v>
      </c>
      <c r="N67" s="89">
        <v>12</v>
      </c>
      <c r="O67" s="89">
        <v>2.2000000000000002</v>
      </c>
      <c r="P67" s="88"/>
      <c r="Q67" s="92"/>
      <c r="R67" s="88"/>
      <c r="S67" s="88"/>
      <c r="T67" s="92"/>
      <c r="U67" s="92"/>
      <c r="V67" s="88"/>
      <c r="W67" s="92"/>
      <c r="X67" s="88"/>
      <c r="Y67" s="92"/>
      <c r="Z67" s="92"/>
      <c r="AA67" s="88"/>
      <c r="AB67" s="83" t="s">
        <v>94</v>
      </c>
      <c r="AC67" s="83" t="s">
        <v>94</v>
      </c>
      <c r="AD67" s="88"/>
      <c r="AE67" s="88"/>
      <c r="AF67" s="20">
        <f t="shared" si="8"/>
        <v>0</v>
      </c>
      <c r="AG67" s="13">
        <f t="shared" si="1"/>
        <v>0</v>
      </c>
      <c r="AH67" s="7">
        <f t="shared" si="2"/>
        <v>0</v>
      </c>
      <c r="AI67" s="7">
        <f t="shared" si="3"/>
        <v>0</v>
      </c>
      <c r="AJ67" s="7">
        <f t="shared" si="4"/>
        <v>0</v>
      </c>
      <c r="AK67" s="7">
        <f t="shared" si="5"/>
        <v>0</v>
      </c>
      <c r="AL67" s="12">
        <f t="shared" si="9"/>
        <v>0</v>
      </c>
      <c r="AM67" s="14" t="str">
        <f t="shared" si="7"/>
        <v>Passable</v>
      </c>
      <c r="AN67" s="88"/>
      <c r="AO67" s="92"/>
      <c r="AP67" s="83" t="s">
        <v>224</v>
      </c>
    </row>
    <row r="68" spans="1:42" ht="30" x14ac:dyDescent="0.25">
      <c r="A68" s="84">
        <v>45171</v>
      </c>
      <c r="C68" s="83">
        <v>3701268</v>
      </c>
      <c r="D68" s="83" t="s">
        <v>115</v>
      </c>
      <c r="E68" s="85">
        <v>10</v>
      </c>
      <c r="F68" s="86">
        <v>513674.029839592</v>
      </c>
      <c r="G68" s="86">
        <v>6067268.2203022297</v>
      </c>
      <c r="H68" s="85" t="s">
        <v>133</v>
      </c>
      <c r="I68" s="85" t="s">
        <v>149</v>
      </c>
      <c r="L68" s="83" t="s">
        <v>92</v>
      </c>
      <c r="M68" s="83" t="s">
        <v>93</v>
      </c>
      <c r="N68" s="89">
        <v>1.4</v>
      </c>
      <c r="O68" s="89">
        <v>5</v>
      </c>
      <c r="P68" s="83" t="s">
        <v>94</v>
      </c>
      <c r="Q68" s="92"/>
      <c r="R68" s="83" t="s">
        <v>94</v>
      </c>
      <c r="S68" s="83" t="s">
        <v>95</v>
      </c>
      <c r="T68" s="89">
        <v>75</v>
      </c>
      <c r="U68" s="89">
        <v>0.5</v>
      </c>
      <c r="V68" s="83">
        <v>0</v>
      </c>
      <c r="W68" s="89">
        <v>0.4</v>
      </c>
      <c r="X68" s="83" t="s">
        <v>94</v>
      </c>
      <c r="Y68" s="89">
        <v>1</v>
      </c>
      <c r="Z68" s="89">
        <v>2.2000000000000002</v>
      </c>
      <c r="AA68" s="83">
        <v>1</v>
      </c>
      <c r="AB68" s="83" t="s">
        <v>94</v>
      </c>
      <c r="AC68" s="83" t="s">
        <v>95</v>
      </c>
      <c r="AD68" s="83" t="s">
        <v>96</v>
      </c>
      <c r="AE68" s="83" t="s">
        <v>102</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83"/>
      <c r="AO68" s="89"/>
      <c r="AP68" s="83" t="s">
        <v>225</v>
      </c>
    </row>
    <row r="69" spans="1:42" ht="30" x14ac:dyDescent="0.25">
      <c r="A69" s="84">
        <v>45171</v>
      </c>
      <c r="C69" s="83">
        <v>3702414</v>
      </c>
      <c r="D69" s="83" t="s">
        <v>115</v>
      </c>
      <c r="E69" s="85">
        <v>10</v>
      </c>
      <c r="F69" s="86">
        <v>517706.712303854</v>
      </c>
      <c r="G69" s="86">
        <v>6068216.7178635104</v>
      </c>
      <c r="H69" s="85" t="s">
        <v>133</v>
      </c>
      <c r="I69" s="85" t="s">
        <v>163</v>
      </c>
      <c r="L69" s="83" t="s">
        <v>112</v>
      </c>
      <c r="M69" s="83" t="s">
        <v>113</v>
      </c>
      <c r="N69" s="89">
        <v>8</v>
      </c>
      <c r="O69" s="89">
        <v>4</v>
      </c>
      <c r="P69" s="88"/>
      <c r="Q69" s="92"/>
      <c r="R69" s="88"/>
      <c r="S69" s="88"/>
      <c r="T69" s="92"/>
      <c r="U69" s="92"/>
      <c r="V69" s="88"/>
      <c r="W69" s="92"/>
      <c r="X69" s="88"/>
      <c r="Y69" s="92"/>
      <c r="Z69" s="92"/>
      <c r="AA69" s="88"/>
      <c r="AB69" s="83" t="s">
        <v>94</v>
      </c>
      <c r="AC69" s="83" t="s">
        <v>94</v>
      </c>
      <c r="AD69" s="88"/>
      <c r="AE69" s="88"/>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8"/>
      <c r="AO69" s="92"/>
      <c r="AP69" s="83" t="s">
        <v>226</v>
      </c>
    </row>
    <row r="70" spans="1:42" x14ac:dyDescent="0.25">
      <c r="A70" s="84">
        <v>45171</v>
      </c>
      <c r="C70" s="83">
        <v>3702410</v>
      </c>
      <c r="D70" s="83" t="s">
        <v>115</v>
      </c>
      <c r="E70" s="85">
        <v>10</v>
      </c>
      <c r="F70" s="86">
        <v>517910.55094485497</v>
      </c>
      <c r="G70" s="86">
        <v>6068378.0848026499</v>
      </c>
      <c r="H70" s="85" t="s">
        <v>100</v>
      </c>
      <c r="I70" s="85" t="s">
        <v>134</v>
      </c>
      <c r="L70" s="83" t="s">
        <v>112</v>
      </c>
      <c r="M70" s="83" t="s">
        <v>113</v>
      </c>
      <c r="N70" s="89">
        <v>16</v>
      </c>
      <c r="O70" s="89">
        <v>4</v>
      </c>
      <c r="P70" s="88"/>
      <c r="Q70" s="92"/>
      <c r="R70" s="88"/>
      <c r="S70" s="88"/>
      <c r="T70" s="92"/>
      <c r="U70" s="92"/>
      <c r="V70" s="88"/>
      <c r="W70" s="92"/>
      <c r="X70" s="88"/>
      <c r="Y70" s="92"/>
      <c r="Z70" s="92"/>
      <c r="AA70" s="88"/>
      <c r="AB70" s="83" t="s">
        <v>94</v>
      </c>
      <c r="AC70" s="83" t="s">
        <v>94</v>
      </c>
      <c r="AD70" s="88"/>
      <c r="AE70" s="88"/>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8"/>
      <c r="AO70" s="92"/>
      <c r="AP70" s="83" t="s">
        <v>227</v>
      </c>
    </row>
    <row r="71" spans="1:42" ht="30" x14ac:dyDescent="0.25">
      <c r="A71" s="84">
        <v>45171</v>
      </c>
      <c r="C71" s="83">
        <v>3702416</v>
      </c>
      <c r="D71" s="83" t="s">
        <v>115</v>
      </c>
      <c r="E71" s="85">
        <v>10</v>
      </c>
      <c r="F71" s="86">
        <v>518833.22672244499</v>
      </c>
      <c r="G71" s="86">
        <v>6067888.1161763202</v>
      </c>
      <c r="H71" s="85" t="s">
        <v>133</v>
      </c>
      <c r="I71" s="85" t="s">
        <v>134</v>
      </c>
      <c r="L71" s="83" t="s">
        <v>112</v>
      </c>
      <c r="M71" s="83" t="s">
        <v>113</v>
      </c>
      <c r="N71" s="89">
        <v>10</v>
      </c>
      <c r="O71" s="89">
        <v>4</v>
      </c>
      <c r="P71" s="88"/>
      <c r="Q71" s="92"/>
      <c r="R71" s="88"/>
      <c r="S71" s="88"/>
      <c r="T71" s="92"/>
      <c r="U71" s="92"/>
      <c r="V71" s="88"/>
      <c r="W71" s="92"/>
      <c r="X71" s="88"/>
      <c r="Y71" s="92"/>
      <c r="Z71" s="92"/>
      <c r="AA71" s="88"/>
      <c r="AB71" s="83" t="s">
        <v>94</v>
      </c>
      <c r="AC71" s="83" t="s">
        <v>94</v>
      </c>
      <c r="AD71" s="88"/>
      <c r="AE71" s="88"/>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8"/>
      <c r="AO71" s="92"/>
      <c r="AP71" s="83" t="s">
        <v>228</v>
      </c>
    </row>
    <row r="72" spans="1:42" ht="30" x14ac:dyDescent="0.25">
      <c r="A72" s="84">
        <v>45171</v>
      </c>
      <c r="C72" s="83">
        <v>3701315</v>
      </c>
      <c r="D72" s="83" t="s">
        <v>115</v>
      </c>
      <c r="E72" s="85">
        <v>10</v>
      </c>
      <c r="F72" s="86">
        <v>520855.701317186</v>
      </c>
      <c r="G72" s="86">
        <v>6068063.9475141298</v>
      </c>
      <c r="H72" s="85" t="s">
        <v>133</v>
      </c>
      <c r="I72" s="85" t="s">
        <v>134</v>
      </c>
      <c r="J72" s="93">
        <v>8.9</v>
      </c>
      <c r="L72" s="83" t="s">
        <v>112</v>
      </c>
      <c r="M72" s="83" t="s">
        <v>113</v>
      </c>
      <c r="N72" s="89">
        <v>17</v>
      </c>
      <c r="O72" s="89">
        <v>4.5</v>
      </c>
      <c r="P72" s="88"/>
      <c r="Q72" s="92"/>
      <c r="R72" s="88"/>
      <c r="S72" s="88"/>
      <c r="T72" s="92"/>
      <c r="U72" s="92"/>
      <c r="V72" s="88"/>
      <c r="W72" s="92"/>
      <c r="X72" s="88"/>
      <c r="Y72" s="92"/>
      <c r="Z72" s="92"/>
      <c r="AA72" s="88"/>
      <c r="AB72" s="83" t="s">
        <v>94</v>
      </c>
      <c r="AC72" s="83" t="s">
        <v>94</v>
      </c>
      <c r="AD72" s="88"/>
      <c r="AE72" s="88"/>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8"/>
      <c r="AO72" s="92"/>
      <c r="AP72" s="83" t="s">
        <v>229</v>
      </c>
    </row>
    <row r="73" spans="1:42" x14ac:dyDescent="0.25">
      <c r="A73" s="84">
        <v>45171</v>
      </c>
      <c r="C73" s="83">
        <v>3700214</v>
      </c>
      <c r="D73" s="83" t="s">
        <v>158</v>
      </c>
      <c r="E73" s="85">
        <v>10</v>
      </c>
      <c r="F73" s="86">
        <v>525284.82216335996</v>
      </c>
      <c r="G73" s="86">
        <v>6068220.7238386096</v>
      </c>
      <c r="H73" s="85" t="s">
        <v>164</v>
      </c>
      <c r="I73" s="85" t="s">
        <v>163</v>
      </c>
      <c r="J73" s="93">
        <v>13.9</v>
      </c>
      <c r="L73" s="83" t="s">
        <v>112</v>
      </c>
      <c r="M73" s="83" t="s">
        <v>113</v>
      </c>
      <c r="N73" s="89">
        <v>16</v>
      </c>
      <c r="O73" s="89">
        <v>4</v>
      </c>
      <c r="P73" s="88"/>
      <c r="Q73" s="92"/>
      <c r="R73" s="88"/>
      <c r="S73" s="88"/>
      <c r="T73" s="92"/>
      <c r="U73" s="92"/>
      <c r="V73" s="88"/>
      <c r="W73" s="92"/>
      <c r="X73" s="88"/>
      <c r="Y73" s="92"/>
      <c r="Z73" s="92"/>
      <c r="AA73" s="88"/>
      <c r="AB73" s="83" t="s">
        <v>94</v>
      </c>
      <c r="AC73" s="83" t="s">
        <v>94</v>
      </c>
      <c r="AD73" s="88"/>
      <c r="AE73" s="88"/>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8"/>
      <c r="AO73" s="92"/>
      <c r="AP73" s="83" t="s">
        <v>230</v>
      </c>
    </row>
    <row r="74" spans="1:42" ht="30" x14ac:dyDescent="0.25">
      <c r="A74" s="58">
        <v>45171</v>
      </c>
      <c r="C74" s="10">
        <v>3702575</v>
      </c>
      <c r="D74" s="10" t="s">
        <v>115</v>
      </c>
      <c r="E74" s="11">
        <v>10</v>
      </c>
      <c r="F74" s="38">
        <v>522445.45089212002</v>
      </c>
      <c r="G74" s="38">
        <v>6053488.8722574003</v>
      </c>
      <c r="H74" s="11" t="s">
        <v>247</v>
      </c>
      <c r="I74" s="11" t="s">
        <v>248</v>
      </c>
      <c r="L74" s="10" t="s">
        <v>112</v>
      </c>
      <c r="M74" s="10" t="s">
        <v>113</v>
      </c>
      <c r="N74" s="89">
        <v>10</v>
      </c>
      <c r="O74" s="89">
        <v>4</v>
      </c>
      <c r="P74" s="88"/>
      <c r="Q74" s="92"/>
      <c r="R74" s="88"/>
      <c r="S74" s="88"/>
      <c r="T74" s="92"/>
      <c r="U74" s="92"/>
      <c r="V74" s="88"/>
      <c r="W74" s="92"/>
      <c r="X74" s="88"/>
      <c r="Y74" s="92"/>
      <c r="Z74" s="92"/>
      <c r="AA74" s="88"/>
      <c r="AB74" s="10" t="s">
        <v>94</v>
      </c>
      <c r="AC74" s="10" t="s">
        <v>94</v>
      </c>
      <c r="AD74" s="88"/>
      <c r="AE74" s="88"/>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8"/>
      <c r="AO74" s="92"/>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kKAd18utc2Rk2N96ZJOs8BJi4T1x9ytkF+mXeyH84SAiNL3HykAdcF9RvB6oTJnITC8pZRWwZlwUa+iwNi/nA==" saltValue="L9QRV03K8VH2NXyvLC2VU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234">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5" xr:uid="{692216F4-CE98-48C3-BCC7-048B76EB9E9F}">
      <formula1>"Round Culvert,Oval Culvert,Concrete Box"</formula1>
    </dataValidation>
    <dataValidation type="decimal" allowBlank="1" showInputMessage="1" showErrorMessage="1" errorTitle="Invalid Diamter or Span" error="The Diameter or Span entered is invalid. Diameter or Span must be &gt; 0 and &lt; 300" sqref="N5" xr:uid="{1DFDA026-C815-4016-BEDA-28C52B252208}">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5" xr:uid="{22755F7D-E997-44E5-9354-2AB59979FD65}">
      <formula1>0.01</formula1>
      <formula2>1.17</formula2>
    </dataValidation>
    <dataValidation type="list" allowBlank="1" showInputMessage="1" showErrorMessage="1" errorTitle="Invalid value entered" error="The crossing subtype is not compatible with a crossing type of Closed Bottom Structure" sqref="M6" xr:uid="{5220106F-ABCE-4F3F-BB4D-11FBB7959145}">
      <formula1>"Round Culvert,Oval Culvert,Concrete Box"</formula1>
    </dataValidation>
    <dataValidation type="decimal" allowBlank="1" showInputMessage="1" showErrorMessage="1" errorTitle="Invalid Diamter or Span" error="The Diameter or Span entered is invalid. Diameter or Span must be &gt; 0 and &lt; 300" sqref="N6" xr:uid="{0A2FCD89-90CB-4774-9EE0-8AB56D1505B6}">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 xr:uid="{24C01475-93F2-4622-9D88-5271960F83E8}">
      <formula1>0.01</formula1>
      <formula2>0.69</formula2>
    </dataValidation>
    <dataValidation type="list" allowBlank="1" showInputMessage="1" showErrorMessage="1" errorTitle="Invalid value entered" error="The crossing subtype is not compatible with a crossing type of Closed Bottom Structure" sqref="M7" xr:uid="{19F3CD54-1618-43D7-A3BD-76F10AEB1DC2}">
      <formula1>"Round Culvert,Oval Culvert,Concrete Box"</formula1>
    </dataValidation>
    <dataValidation type="decimal" allowBlank="1" showInputMessage="1" showErrorMessage="1" errorTitle="Invalid Diamter or Span" error="The Diameter or Span entered is invalid. Diameter or Span must be &gt; 0 and &lt; 300" sqref="N7" xr:uid="{454CF4F2-4D35-4F6B-B6A8-9A73C38495B0}">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7" xr:uid="{E4A81360-31E7-4297-A734-0AE87DBBD210}">
      <formula1>0.01</formula1>
      <formula2>3.49</formula2>
    </dataValidation>
    <dataValidation type="list" allowBlank="1" showInputMessage="1" showErrorMessage="1" errorTitle="Invalid value entered" error="The crossing subtype is not compatible with a crossing type of Closed Bottom Structure" sqref="M8" xr:uid="{53B63E27-7C96-4E05-817E-586A0F99D166}">
      <formula1>"Round Culvert,Oval Culvert,Concrete Box"</formula1>
    </dataValidation>
    <dataValidation type="decimal" allowBlank="1" showInputMessage="1" showErrorMessage="1" errorTitle="Invalid Diamter or Span" error="The Diameter or Span entered is invalid. Diameter or Span must be &gt; 0 and &lt; 300" sqref="N8" xr:uid="{F0790DBA-98C5-425D-A99B-05E3CEA761BD}">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31B270F9-9599-4D73-A6AA-1086AFA2C864}">
      <formula1>0.01</formula1>
      <formula2>0.59</formula2>
    </dataValidation>
    <dataValidation type="list" allowBlank="1" showInputMessage="1" showErrorMessage="1" errorTitle="Invalid value entered" error="The crossing subtype is not compatible with a crossing type of Closed Bottom Structure" sqref="M9" xr:uid="{20366295-3005-41D5-8793-7A66C5253EF2}">
      <formula1>"Round Culvert,Oval Culvert,Concrete Box"</formula1>
    </dataValidation>
    <dataValidation type="decimal" allowBlank="1" showInputMessage="1" showErrorMessage="1" errorTitle="Invalid Diamter or Span" error="The Diameter or Span entered is invalid. Diameter or Span must be &gt; 0 and &lt; 300" sqref="N9" xr:uid="{52B3105F-801E-4F14-BB65-929FD87A9385}">
      <formula1>0.01</formula1>
      <formula2>300</formula2>
    </dataValidation>
    <dataValidation type="decimal" allowBlank="1" showInputMessage="1" showErrorMessage="1" errorTitle="Invalid value entered" error="The Average Depth Embededdment you entered is invalid. The Average Depth Embededdment must be &lt;= 4.19 and &gt;= 0.01" sqref="Q9" xr:uid="{C09493E5-E5BC-47A8-8827-616AFBAEC8CF}">
      <formula1>0.01</formula1>
      <formula2>4.19</formula2>
    </dataValidation>
    <dataValidation type="list" allowBlank="1" showInputMessage="1" showErrorMessage="1" errorTitle="Invalid value entered" error="The crossing subtype is not compatible with a crossing type of Other" sqref="M10" xr:uid="{57ED1916-F633-4228-ACC3-99AEF5321FA3}">
      <formula1>"Ford"</formula1>
    </dataValidation>
    <dataValidation type="list" allowBlank="1" showInputMessage="1" showErrorMessage="1" errorTitle="Invalid value entered" error="The crossing subtype is not compatible with a crossing type of Closed Bottom Structure" sqref="M11" xr:uid="{90F7BDBA-7AB1-4652-97F6-82115ADD9F2A}">
      <formula1>"Round Culvert,Oval Culvert,Concrete Box"</formula1>
    </dataValidation>
    <dataValidation type="decimal" allowBlank="1" showInputMessage="1" showErrorMessage="1" errorTitle="Invalid Diamter or Span" error="The Diameter or Span entered is invalid. Diameter or Span must be &gt; 0 and &lt; 300" sqref="N11" xr:uid="{01AE297E-61F3-438C-B601-580D5B10FFD3}">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29999A5A-0C43-4543-AB40-F11921FA8822}">
      <formula1>0.01</formula1>
      <formula2>1.19</formula2>
    </dataValidation>
    <dataValidation type="list" allowBlank="1" showInputMessage="1" showErrorMessage="1" errorTitle="Invalid value entered" error="The crossing subtype is not compatible with a crossing type of Closed Bottom Structure" sqref="M12" xr:uid="{02174A29-35B8-4585-ABF0-F762D6B9F8BC}">
      <formula1>"Round Culvert,Oval Culvert,Concrete Box"</formula1>
    </dataValidation>
    <dataValidation type="decimal" allowBlank="1" showInputMessage="1" showErrorMessage="1" errorTitle="Invalid Diamter or Span" error="The Diameter or Span entered is invalid. Diameter or Span must be &gt; 0 and &lt; 300" sqref="N12" xr:uid="{B21FAD3C-7EE3-41A2-89C6-CA1EE46C8254}">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 xr:uid="{D5D2B698-4633-483C-B4DA-CE51366A361A}">
      <formula1>0.01</formula1>
      <formula2>2.49</formula2>
    </dataValidation>
    <dataValidation type="list" allowBlank="1" showInputMessage="1" showErrorMessage="1" errorTitle="Invalid value entered" error="The crossing subtype is not compatible with a crossing type of Closed Bottom Structure" sqref="M13" xr:uid="{9707E691-ABA4-41A5-A3B9-23012DF4E63B}">
      <formula1>"Round Culvert,Oval Culvert,Concrete Box"</formula1>
    </dataValidation>
    <dataValidation type="decimal" allowBlank="1" showInputMessage="1" showErrorMessage="1" errorTitle="Invalid Diamter or Span" error="The Diameter or Span entered is invalid. Diameter or Span must be &gt; 0 and &lt; 300" sqref="N13" xr:uid="{281884C6-9ED4-409F-A373-98ED34F89E1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3" xr:uid="{3412B704-E58C-49E8-81D1-5910486D2BC7}">
      <formula1>0.01</formula1>
      <formula2>1.19</formula2>
    </dataValidation>
    <dataValidation type="list" allowBlank="1" showInputMessage="1" showErrorMessage="1" errorTitle="Invalid value entered" error="The crossing subtype is not compatible with a crossing type of Closed Bottom Structure" sqref="M14" xr:uid="{05065561-070F-4543-B0A3-538888DB18E6}">
      <formula1>"Round Culvert,Oval Culvert,Concrete Box"</formula1>
    </dataValidation>
    <dataValidation type="decimal" allowBlank="1" showInputMessage="1" showErrorMessage="1" errorTitle="Invalid Diamter or Span" error="The Diameter or Span entered is invalid. Diameter or Span must be &gt; 0 and &lt; 300" sqref="N14" xr:uid="{CD5F9F83-E5C7-45BE-BE93-08CA2D37D2C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 xr:uid="{1132ABB3-A30F-4C1B-8FE8-D5129A747C8D}">
      <formula1>0.01</formula1>
      <formula2>0.89</formula2>
    </dataValidation>
    <dataValidation type="list" allowBlank="1" showInputMessage="1" showErrorMessage="1" errorTitle="Invalid value entered" error="The crossing subtype is not compatible with a crossing type of Open Bottom Structure" sqref="M15" xr:uid="{CBD961F1-BAE9-48FE-85C5-8D9A26F6EE51}">
      <formula1>"Bridge, Pipe Arch, Wood Box Culvert"</formula1>
    </dataValidation>
    <dataValidation type="decimal" allowBlank="1" showInputMessage="1" showErrorMessage="1" errorTitle="Invalid Diamter or Span" error="The Diameter or Span entered is invalid. Diameter or Span must be &gt; 0 and &lt; 100" sqref="N15" xr:uid="{89A96495-6DC5-4D7E-A258-833A6EAC0CD7}">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 xr:uid="{7C80256A-7A30-4249-A5F0-7323E091CD50}">
      <formula1>0.01</formula1>
      <formula2>5.99</formula2>
    </dataValidation>
    <dataValidation type="list" allowBlank="1" showInputMessage="1" showErrorMessage="1" errorTitle="Invalid value entered" error="The crossing subtype is not compatible with a crossing type of Open Bottom Structure" sqref="M16" xr:uid="{369A3C88-D5C2-4986-9E15-9D34FA393C3C}">
      <formula1>"Bridge, Pipe Arch, Wood Box Culvert"</formula1>
    </dataValidation>
    <dataValidation type="decimal" allowBlank="1" showInputMessage="1" showErrorMessage="1" errorTitle="Invalid Diamter or Span" error="The Diameter or Span entered is invalid. Diameter or Span must be &gt; 0 and &lt; 100" sqref="N16" xr:uid="{05BFF76D-8672-435E-9B9A-C1E701310070}">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6" xr:uid="{1D93A5C6-367D-4E4A-96CF-24390916AE8A}">
      <formula1>0.01</formula1>
      <formula2>5.99</formula2>
    </dataValidation>
    <dataValidation type="list" allowBlank="1" showInputMessage="1" showErrorMessage="1" errorTitle="Invalid value entered" error="The crossing subtype is not compatible with a crossing type of Closed Bottom Structure" sqref="M17" xr:uid="{E1C0942E-5B71-4C4B-B16F-A73966BEA420}">
      <formula1>"Round Culvert,Oval Culvert,Concrete Box"</formula1>
    </dataValidation>
    <dataValidation type="decimal" allowBlank="1" showInputMessage="1" showErrorMessage="1" errorTitle="Invalid Diamter or Span" error="The Diameter or Span entered is invalid. Diameter or Span must be &gt; 0 and &lt; 300" sqref="N17" xr:uid="{FFA82EE2-EF2B-4E02-AA11-D94B028B8FA7}">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7" xr:uid="{52ED0FA9-C442-45C8-A93B-91DE3D10B69C}">
      <formula1>0.01</formula1>
      <formula2>2.49</formula2>
    </dataValidation>
    <dataValidation type="list" allowBlank="1" showInputMessage="1" showErrorMessage="1" errorTitle="Invalid value entered" error="The crossing subtype is not compatible with a crossing type of Closed Bottom Structure" sqref="M18" xr:uid="{E4584983-27B5-4F6C-ABC7-822DE32CF2D7}">
      <formula1>"Round Culvert,Oval Culvert,Concrete Box"</formula1>
    </dataValidation>
    <dataValidation type="decimal" allowBlank="1" showInputMessage="1" showErrorMessage="1" errorTitle="Invalid Diamter or Span" error="The Diameter or Span entered is invalid. Diameter or Span must be &gt; 0 and &lt; 300" sqref="N18" xr:uid="{CDBFAA3A-C9EA-414A-B938-6EC3A46AFF8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8" xr:uid="{EDA5F71E-DBE6-47D7-B231-6C55B374317E}">
      <formula1>0.01</formula1>
      <formula2>1.19</formula2>
    </dataValidation>
    <dataValidation type="list" allowBlank="1" showInputMessage="1" showErrorMessage="1" errorTitle="Invalid value entered" error="The crossing subtype is not compatible with a crossing type of Closed Bottom Structure" sqref="M19" xr:uid="{CFF7265D-A351-496F-8E9C-C4C436861B68}">
      <formula1>"Round Culvert,Oval Culvert,Concrete Box"</formula1>
    </dataValidation>
    <dataValidation type="decimal" allowBlank="1" showInputMessage="1" showErrorMessage="1" errorTitle="Invalid Diamter or Span" error="The Diameter or Span entered is invalid. Diameter or Span must be &gt; 0 and &lt; 300" sqref="N19" xr:uid="{E25DFA36-33CC-46A3-8DAD-3F863EA80EE3}">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9" xr:uid="{89EC1CCB-5A5F-406C-81BC-A7A17F3CEB2D}">
      <formula1>0.01</formula1>
      <formula2>0.79</formula2>
    </dataValidation>
    <dataValidation type="list" allowBlank="1" showInputMessage="1" showErrorMessage="1" errorTitle="Invalid value entered" error="The crossing subtype is not compatible with a crossing type of Closed Bottom Structure" sqref="M20" xr:uid="{A670B6BC-572E-4FC8-BC39-83E72C86967B}">
      <formula1>"Round Culvert,Oval Culvert,Concrete Box"</formula1>
    </dataValidation>
    <dataValidation type="decimal" allowBlank="1" showInputMessage="1" showErrorMessage="1" errorTitle="Invalid Diamter or Span" error="The Diameter or Span entered is invalid. Diameter or Span must be &gt; 0 and &lt; 300" sqref="N20" xr:uid="{81E0647A-9533-4DF2-AA86-F0A217BD7E10}">
      <formula1>0.01</formula1>
      <formula2>300</formula2>
    </dataValidation>
    <dataValidation type="decimal" allowBlank="1" showInputMessage="1" showErrorMessage="1" errorTitle="Invalid value entered" error="The Average Depth Embededdment you entered is invalid. The Average Depth Embededdment must be &lt;= 1.89 and &gt;= 0.01" sqref="Q20" xr:uid="{2129C783-F965-4B3C-B821-B566A4686C60}">
      <formula1>0.01</formula1>
      <formula2>1.89</formula2>
    </dataValidation>
    <dataValidation type="list" allowBlank="1" showInputMessage="1" showErrorMessage="1" errorTitle="Invalid value entered" error="The crossing subtype is not compatible with a crossing type of Open Bottom Structure" sqref="M21" xr:uid="{6FAB4EA5-1800-4021-BAA3-E3B33B640F20}">
      <formula1>"Bridge, Pipe Arch, Wood Box Culvert"</formula1>
    </dataValidation>
    <dataValidation type="decimal" allowBlank="1" showInputMessage="1" showErrorMessage="1" errorTitle="Invalid Diamter or Span" error="The Diameter or Span entered is invalid. Diameter or Span must be &gt; 0 and &lt; 100" sqref="N21" xr:uid="{8A6FCFD7-8B88-4072-9BFA-A570184B7641}">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21" xr:uid="{3FD9D01F-198B-429C-AF01-3191CC2ABA53}">
      <formula1>0.01</formula1>
      <formula2>14.99</formula2>
    </dataValidation>
    <dataValidation type="list" allowBlank="1" showInputMessage="1" showErrorMessage="1" errorTitle="Invalid value entered" error="The crossing subtype is not compatible with a crossing type of Closed Bottom Structure" sqref="M22" xr:uid="{4DA4699B-536D-4D5B-8F29-66A26133A31B}">
      <formula1>"Round Culvert,Oval Culvert,Concrete Box"</formula1>
    </dataValidation>
    <dataValidation type="decimal" allowBlank="1" showInputMessage="1" showErrorMessage="1" errorTitle="Invalid Diamter or Span" error="The Diameter or Span entered is invalid. Diameter or Span must be &gt; 0 and &lt; 300" sqref="N22" xr:uid="{1A000CE4-CD86-47EE-AB93-F895B795C042}">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22" xr:uid="{36708009-1BC9-44F5-9188-15A6F42C73C6}">
      <formula1>0.01</formula1>
      <formula2>0.79</formula2>
    </dataValidation>
    <dataValidation type="list" allowBlank="1" showInputMessage="1" showErrorMessage="1" errorTitle="Invalid value entered" error="The crossing subtype is not compatible with a crossing type of Closed Bottom Structure" sqref="M23" xr:uid="{692BF1CF-406D-40ED-AC59-D1DB485A6542}">
      <formula1>"Round Culvert,Oval Culvert,Concrete Box"</formula1>
    </dataValidation>
    <dataValidation type="decimal" allowBlank="1" showInputMessage="1" showErrorMessage="1" errorTitle="Invalid Diamter or Span" error="The Diameter or Span entered is invalid. Diameter or Span must be &gt; 0 and &lt; 300" sqref="N23" xr:uid="{09EECF7B-FB0D-497C-BC68-695696DDDC9E}">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23" xr:uid="{0CA91F8D-832F-4887-A403-837519895597}">
      <formula1>0.01</formula1>
      <formula2>0.74</formula2>
    </dataValidation>
    <dataValidation type="list" allowBlank="1" showInputMessage="1" showErrorMessage="1" errorTitle="Invalid value entered" error="The crossing subtype is not compatible with a crossing type of Closed Bottom Structure" sqref="M24" xr:uid="{9D23D9A6-6709-4BE2-94B6-C71C462A5B74}">
      <formula1>"Round Culvert,Oval Culvert,Concrete Box"</formula1>
    </dataValidation>
    <dataValidation type="decimal" allowBlank="1" showInputMessage="1" showErrorMessage="1" errorTitle="Invalid Diamter or Span" error="The Diameter or Span entered is invalid. Diameter or Span must be &gt; 0 and &lt; 300" sqref="N24" xr:uid="{0FA95CF5-9E22-4DEB-8D77-0363C83FED6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4" xr:uid="{352952C0-0302-416E-9245-4AE1EE650B9B}">
      <formula1>0.01</formula1>
      <formula2>0.59</formula2>
    </dataValidation>
    <dataValidation type="list" allowBlank="1" showInputMessage="1" showErrorMessage="1" errorTitle="Invalid value entered" error="The crossing subtype is not compatible with a crossing type of Closed Bottom Structure" sqref="M25" xr:uid="{A6149F53-30E2-4AA8-8B2A-6A050D422472}">
      <formula1>"Round Culvert,Oval Culvert,Concrete Box"</formula1>
    </dataValidation>
    <dataValidation type="decimal" allowBlank="1" showInputMessage="1" showErrorMessage="1" errorTitle="Invalid Diamter or Span" error="The Diameter or Span entered is invalid. Diameter or Span must be &gt; 0 and &lt; 300" sqref="N25" xr:uid="{8CCD062A-1E81-42FF-BCFF-D1865D1B7F2A}">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25" xr:uid="{FBE7361C-03E4-4254-8B87-9EEE58A35277}">
      <formula1>0.01</formula1>
      <formula2>1.09</formula2>
    </dataValidation>
    <dataValidation type="list" allowBlank="1" showInputMessage="1" showErrorMessage="1" errorTitle="Invalid value entered" error="The crossing subtype is not compatible with a crossing type of Open Bottom Structure" sqref="M26" xr:uid="{88E9E418-8D1B-4BA8-9060-E166E63FBBCD}">
      <formula1>"Bridge, Pipe Arch, Wood Box Culvert"</formula1>
    </dataValidation>
    <dataValidation type="decimal" allowBlank="1" showInputMessage="1" showErrorMessage="1" errorTitle="Invalid Diamter or Span" error="The Diameter or Span entered is invalid. Diameter or Span must be &gt; 0 and &lt; 100" sqref="N26" xr:uid="{CCA77775-26B7-4843-8370-49E84383BE86}">
      <formula1>0.01</formula1>
      <formula2>100</formula2>
    </dataValidation>
    <dataValidation type="decimal" allowBlank="1" showInputMessage="1" showErrorMessage="1" errorTitle="Invalid value entered" error="The Average Depth Embededdment you entered is invalid. The Average Depth Embededdment must be &lt;= 3.49 and &gt;= 0.01" sqref="Q26" xr:uid="{DFC2F4B0-8986-4B98-AF4F-867B93FC1096}">
      <formula1>0.01</formula1>
      <formula2>3.49</formula2>
    </dataValidation>
    <dataValidation type="list" allowBlank="1" showInputMessage="1" showErrorMessage="1" errorTitle="Invalid value entered" error="The crossing subtype is not compatible with a crossing type of Closed Bottom Structure" sqref="M27" xr:uid="{F86CA310-2AD8-49F5-96C4-22F24408513C}">
      <formula1>"Round Culvert,Oval Culvert,Concrete Box"</formula1>
    </dataValidation>
    <dataValidation type="decimal" allowBlank="1" showInputMessage="1" showErrorMessage="1" errorTitle="Invalid Diamter or Span" error="The Diameter or Span entered is invalid. Diameter or Span must be &gt; 0 and &lt; 300" sqref="N27" xr:uid="{CA1DA93D-2DD3-42F5-B494-6E1B5E65AF93}">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7" xr:uid="{8D61765E-0F60-41C7-BFAE-DF465E22C33D}">
      <formula1>0.01</formula1>
      <formula2>1.69</formula2>
    </dataValidation>
    <dataValidation type="list" allowBlank="1" showInputMessage="1" showErrorMessage="1" errorTitle="Invalid value entered" error="The crossing subtype is not compatible with a crossing type of Closed Bottom Structure" sqref="M28" xr:uid="{ECC7CEE5-C2FB-4C3C-A9EA-F89F06B06023}">
      <formula1>"Round Culvert,Oval Culvert,Concrete Box"</formula1>
    </dataValidation>
    <dataValidation type="decimal" allowBlank="1" showInputMessage="1" showErrorMessage="1" errorTitle="Invalid Diamter or Span" error="The Diameter or Span entered is invalid. Diameter or Span must be &gt; 0 and &lt; 300" sqref="N28" xr:uid="{D5A54094-1B84-498D-8330-DBF38BBE7B2D}">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28" xr:uid="{D8675BE5-B530-405F-8A90-F26CD3BAA4E4}">
      <formula1>0.01</formula1>
      <formula2>1.19</formula2>
    </dataValidation>
    <dataValidation type="list" allowBlank="1" showInputMessage="1" showErrorMessage="1" errorTitle="Invalid value entered" error="The crossing subtype is not compatible with a crossing type of Closed Bottom Structure" sqref="M29" xr:uid="{F5A0E3AB-A1C4-465B-B731-F33EC320E22B}">
      <formula1>"Round Culvert,Oval Culvert,Concrete Box"</formula1>
    </dataValidation>
    <dataValidation type="decimal" allowBlank="1" showInputMessage="1" showErrorMessage="1" errorTitle="Invalid Diamter or Span" error="The Diameter or Span entered is invalid. Diameter or Span must be &gt; 0 and &lt; 300" sqref="N29" xr:uid="{DFBA15CF-F207-4E4C-AE6C-509537CBA093}">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9" xr:uid="{CA05BBD7-9712-4379-9F64-829780FDA4F6}">
      <formula1>0.01</formula1>
      <formula2>1.79</formula2>
    </dataValidation>
    <dataValidation type="list" allowBlank="1" showInputMessage="1" showErrorMessage="1" errorTitle="Invalid value entered" error="The crossing subtype is not compatible with a crossing type of Other" sqref="M30" xr:uid="{2E840F4F-EA9F-4236-8EAF-8A8A5FFDC7CC}">
      <formula1>"Ford"</formula1>
    </dataValidation>
    <dataValidation type="list" allowBlank="1" showInputMessage="1" showErrorMessage="1" errorTitle="Invalid value entered" error="The crossing subtype is not compatible with a crossing type of Closed Bottom Structure" sqref="M31" xr:uid="{808A9294-7D0A-4BE6-B0A0-A05C08A127B7}">
      <formula1>"Round Culvert,Oval Culvert,Concrete Box"</formula1>
    </dataValidation>
    <dataValidation type="decimal" allowBlank="1" showInputMessage="1" showErrorMessage="1" errorTitle="Invalid Diamter or Span" error="The Diameter or Span entered is invalid. Diameter or Span must be &gt; 0 and &lt; 300" sqref="N31" xr:uid="{6B1ACA9A-BFDF-4767-8FDD-ED10A4600CDE}">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31" xr:uid="{DE224612-10D3-4C74-93DD-EE75F0BC088E}">
      <formula1>0.01</formula1>
      <formula2>0.49</formula2>
    </dataValidation>
    <dataValidation type="list" allowBlank="1" showInputMessage="1" showErrorMessage="1" errorTitle="Invalid value entered" error="The crossing subtype is not compatible with a crossing type of Closed Bottom Structure" sqref="M32" xr:uid="{C111CB44-A84F-4CE9-AB1D-6052B54A12EB}">
      <formula1>"Round Culvert,Oval Culvert,Concrete Box"</formula1>
    </dataValidation>
    <dataValidation type="decimal" allowBlank="1" showInputMessage="1" showErrorMessage="1" errorTitle="Invalid Diamter or Span" error="The Diameter or Span entered is invalid. Diameter or Span must be &gt; 0 and &lt; 300" sqref="N32" xr:uid="{0B9E4389-2439-4734-95EA-17EF0AF36DF7}">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32" xr:uid="{F59E14F0-5FE0-4771-99A2-CEBD5DE68248}">
      <formula1>0.01</formula1>
      <formula2>1.99</formula2>
    </dataValidation>
    <dataValidation type="list" allowBlank="1" showInputMessage="1" showErrorMessage="1" errorTitle="Invalid value entered" error="The crossing subtype is not compatible with a crossing type of Closed Bottom Structure" sqref="M33" xr:uid="{BD52E0A5-1949-45C4-B451-ABD6C0817AB4}">
      <formula1>"Round Culvert,Oval Culvert,Concrete Box"</formula1>
    </dataValidation>
    <dataValidation type="decimal" allowBlank="1" showInputMessage="1" showErrorMessage="1" errorTitle="Invalid Diamter or Span" error="The Diameter or Span entered is invalid. Diameter or Span must be &gt; 0 and &lt; 300" sqref="N33" xr:uid="{1196D022-8B0F-4964-86CC-824DA8B5631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3" xr:uid="{30C75BCF-274D-4447-A555-3EB706C622E5}">
      <formula1>0.01</formula1>
      <formula2>1.49</formula2>
    </dataValidation>
    <dataValidation type="list" allowBlank="1" showInputMessage="1" showErrorMessage="1" errorTitle="Invalid value entered" error="The crossing subtype is not compatible with a crossing type of Closed Bottom Structure" sqref="M34" xr:uid="{4D9B71C1-AC67-40E1-99B6-9E0F78FA6C25}">
      <formula1>"Round Culvert,Oval Culvert,Concrete Box"</formula1>
    </dataValidation>
    <dataValidation type="decimal" allowBlank="1" showInputMessage="1" showErrorMessage="1" errorTitle="Invalid Diamter or Span" error="The Diameter or Span entered is invalid. Diameter or Span must be &gt; 0 and &lt; 300" sqref="N34" xr:uid="{EA1C1098-650E-43B8-AFD3-CC68F4AC269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4" xr:uid="{B0A36E55-33E0-4EC8-AE8A-F840F9EB5102}">
      <formula1>0.01</formula1>
      <formula2>1.19</formula2>
    </dataValidation>
    <dataValidation type="list" allowBlank="1" showInputMessage="1" showErrorMessage="1" errorTitle="Invalid value entered" error="The crossing subtype is not compatible with a crossing type of Closed Bottom Structure" sqref="M35" xr:uid="{08A40A07-AD20-46CA-919F-EF4682A9F93F}">
      <formula1>"Round Culvert,Oval Culvert,Concrete Box"</formula1>
    </dataValidation>
    <dataValidation type="decimal" allowBlank="1" showInputMessage="1" showErrorMessage="1" errorTitle="Invalid Diamter or Span" error="The Diameter or Span entered is invalid. Diameter or Span must be &gt; 0 and &lt; 300" sqref="N35" xr:uid="{68EE0D95-B651-4AD6-84D0-546EB56DDC8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5" xr:uid="{F27F39C8-9514-4F9E-8203-C8615652A406}">
      <formula1>0.01</formula1>
      <formula2>0.89</formula2>
    </dataValidation>
    <dataValidation type="list" allowBlank="1" showInputMessage="1" showErrorMessage="1" errorTitle="Invalid value entered" error="The crossing subtype is not compatible with a crossing type of Closed Bottom Structure" sqref="M36" xr:uid="{69BDDBE5-5A2A-450E-86AB-076DD4967464}">
      <formula1>"Round Culvert,Oval Culvert,Concrete Box"</formula1>
    </dataValidation>
    <dataValidation type="decimal" allowBlank="1" showInputMessage="1" showErrorMessage="1" errorTitle="Invalid Diamter or Span" error="The Diameter or Span entered is invalid. Diameter or Span must be &gt; 0 and &lt; 300" sqref="N36" xr:uid="{3D826F18-E7DC-4E42-BDE5-CA502062F9F2}">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36" xr:uid="{7847EC63-4022-4175-97E7-235F833925D0}">
      <formula1>0.01</formula1>
      <formula2>0.69</formula2>
    </dataValidation>
    <dataValidation type="list" allowBlank="1" showInputMessage="1" showErrorMessage="1" errorTitle="Invalid value entered" error="The crossing subtype is not compatible with a crossing type of Closed Bottom Structure" sqref="M37" xr:uid="{009C5EDA-9C73-4B44-A74C-140B9D33DD1B}">
      <formula1>"Round Culvert,Oval Culvert,Concrete Box"</formula1>
    </dataValidation>
    <dataValidation type="decimal" allowBlank="1" showInputMessage="1" showErrorMessage="1" errorTitle="Invalid Diamter or Span" error="The Diameter or Span entered is invalid. Diameter or Span must be &gt; 0 and &lt; 300" sqref="N37" xr:uid="{1A67091E-520B-4EFD-8F8F-1CF5DFE5CEB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7" xr:uid="{F1258CED-E56F-48AC-8894-705A1A2CD592}">
      <formula1>0.01</formula1>
      <formula2>1.19</formula2>
    </dataValidation>
    <dataValidation type="list" allowBlank="1" showInputMessage="1" showErrorMessage="1" errorTitle="Invalid value entered" error="The crossing subtype is not compatible with a crossing type of Closed Bottom Structure" sqref="M38" xr:uid="{7BDA94CF-9A4C-42FA-AC33-FEAE4617B63F}">
      <formula1>"Round Culvert,Oval Culvert,Concrete Box"</formula1>
    </dataValidation>
    <dataValidation type="decimal" allowBlank="1" showInputMessage="1" showErrorMessage="1" errorTitle="Invalid Diamter or Span" error="The Diameter or Span entered is invalid. Diameter or Span must be &gt; 0 and &lt; 300" sqref="N38" xr:uid="{6F155B9A-D982-416D-8DC1-69ED398673E3}">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8" xr:uid="{E8A8DFFB-D2DF-4F8A-A9B9-E3D3C43F0220}">
      <formula1>0.01</formula1>
      <formula2>1.19</formula2>
    </dataValidation>
    <dataValidation type="list" allowBlank="1" showInputMessage="1" showErrorMessage="1" errorTitle="Invalid value entered" error="The crossing subtype is not compatible with a crossing type of Closed Bottom Structure" sqref="M39" xr:uid="{EE17DC6D-9C26-4B90-8D53-95F804392EE7}">
      <formula1>"Round Culvert,Oval Culvert,Concrete Box"</formula1>
    </dataValidation>
    <dataValidation type="decimal" allowBlank="1" showInputMessage="1" showErrorMessage="1" errorTitle="Invalid Diamter or Span" error="The Diameter or Span entered is invalid. Diameter or Span must be &gt; 0 and &lt; 300" sqref="N39" xr:uid="{C83BEA90-EDA1-4915-BCB3-F7E830252300}">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39" xr:uid="{C2E4D93F-2107-4C61-BACE-E3F9DB2692EA}">
      <formula1>0.01</formula1>
      <formula2>0.74</formula2>
    </dataValidation>
    <dataValidation type="list" allowBlank="1" showInputMessage="1" showErrorMessage="1" errorTitle="Invalid value entered" error="The crossing subtype is not compatible with a crossing type of Open Bottom Structure" sqref="M40" xr:uid="{CB6F864B-70F7-447F-B2C6-5758336646A7}">
      <formula1>"Bridge, Pipe Arch, Wood Box Culvert"</formula1>
    </dataValidation>
    <dataValidation type="decimal" allowBlank="1" showInputMessage="1" showErrorMessage="1" errorTitle="Invalid Diamter or Span" error="The Diameter or Span entered is invalid. Diameter or Span must be &gt; 0 and &lt; 100" sqref="N40" xr:uid="{4B3B29E2-720A-4AC5-9943-0F1A223DBACA}">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40" xr:uid="{D883E885-962C-444D-B8FE-24342F6808E2}">
      <formula1>0.01</formula1>
      <formula2>14.99</formula2>
    </dataValidation>
    <dataValidation type="list" allowBlank="1" showInputMessage="1" showErrorMessage="1" errorTitle="Invalid value entered" error="The crossing subtype is not compatible with a crossing type of Closed Bottom Structure" sqref="M41" xr:uid="{7020AE04-33E4-4AC2-A502-AEBFED660897}">
      <formula1>"Round Culvert,Oval Culvert,Concrete Box"</formula1>
    </dataValidation>
    <dataValidation type="decimal" allowBlank="1" showInputMessage="1" showErrorMessage="1" errorTitle="Invalid Diamter or Span" error="The Diameter or Span entered is invalid. Diameter or Span must be &gt; 0 and &lt; 300" sqref="N41" xr:uid="{3F8DA41F-218C-4CCA-996B-75E3973BACB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1" xr:uid="{9AFEF305-4ED8-406A-9DB2-13B925AB5976}">
      <formula1>0.01</formula1>
      <formula2>0.59</formula2>
    </dataValidation>
    <dataValidation type="list" allowBlank="1" showInputMessage="1" showErrorMessage="1" errorTitle="Invalid value entered" error="The crossing subtype is not compatible with a crossing type of Closed Bottom Structure" sqref="M42" xr:uid="{F5FFBC19-8104-4B1C-9211-1F8347493B5E}">
      <formula1>"Round Culvert,Oval Culvert,Concrete Box"</formula1>
    </dataValidation>
    <dataValidation type="decimal" allowBlank="1" showInputMessage="1" showErrorMessage="1" errorTitle="Invalid Diamter or Span" error="The Diameter or Span entered is invalid. Diameter or Span must be &gt; 0 and &lt; 300" sqref="N42" xr:uid="{D26DE124-232E-4660-BF59-09D12F26BF9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2" xr:uid="{C77D9830-6403-486C-B23E-31E57FDD17F7}">
      <formula1>0.01</formula1>
      <formula2>1.49</formula2>
    </dataValidation>
    <dataValidation type="list" allowBlank="1" showInputMessage="1" showErrorMessage="1" errorTitle="Invalid value entered" error="The crossing subtype is not compatible with a crossing type of Closed Bottom Structure" sqref="M43" xr:uid="{25FA272E-BCB4-4893-9B01-D526902C76CC}">
      <formula1>"Round Culvert,Oval Culvert,Concrete Box"</formula1>
    </dataValidation>
    <dataValidation type="decimal" allowBlank="1" showInputMessage="1" showErrorMessage="1" errorTitle="Invalid Diamter or Span" error="The Diameter or Span entered is invalid. Diameter or Span must be &gt; 0 and &lt; 300" sqref="N43" xr:uid="{575EC9C6-67FB-49ED-B901-11B6C20BDAB6}">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43" xr:uid="{A5AB582E-04DA-4D9E-A450-559E76F417E2}">
      <formula1>0.01</formula1>
      <formula2>3.49</formula2>
    </dataValidation>
    <dataValidation type="list" allowBlank="1" showInputMessage="1" showErrorMessage="1" errorTitle="Invalid value entered" error="The crossing subtype is not compatible with a crossing type of Closed Bottom Structure" sqref="M44" xr:uid="{9AC5DD7C-85FD-4E5E-B1E4-F8610D5B2D76}">
      <formula1>"Round Culvert,Oval Culvert,Concrete Box"</formula1>
    </dataValidation>
    <dataValidation type="decimal" allowBlank="1" showInputMessage="1" showErrorMessage="1" errorTitle="Invalid Diamter or Span" error="The Diameter or Span entered is invalid. Diameter or Span must be &gt; 0 and &lt; 300" sqref="N44" xr:uid="{7E1AB6C7-922E-4A0D-B7BC-8690D3F203E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4" xr:uid="{5B9615AE-0E0C-4E56-9CCE-C2C17A2CBCF7}">
      <formula1>0.01</formula1>
      <formula2>0.59</formula2>
    </dataValidation>
    <dataValidation type="list" allowBlank="1" showInputMessage="1" showErrorMessage="1" errorTitle="Invalid value entered" error="The crossing subtype is not compatible with a crossing type of Open Bottom Structure" sqref="M45" xr:uid="{F6EBA901-619D-4D38-B56E-3185213FE5FD}">
      <formula1>"Bridge, Pipe Arch, Wood Box Culvert"</formula1>
    </dataValidation>
    <dataValidation type="decimal" allowBlank="1" showInputMessage="1" showErrorMessage="1" errorTitle="Invalid Diamter or Span" error="The Diameter or Span entered is invalid. Diameter or Span must be &gt; 0 and &lt; 100" sqref="N45" xr:uid="{39E8DC47-E64E-4AE4-90E1-C66833730116}">
      <formula1>0.01</formula1>
      <formula2>100</formula2>
    </dataValidation>
    <dataValidation type="decimal" allowBlank="1" showInputMessage="1" showErrorMessage="1" errorTitle="Invalid value entered" error="The Average Depth Embededdment you entered is invalid. The Average Depth Embededdment must be &lt;= 13.99 and &gt;= 0.01" sqref="Q45" xr:uid="{FDE7E326-ADAC-46F2-BB83-09965AAB5E9C}">
      <formula1>0.01</formula1>
      <formula2>13.99</formula2>
    </dataValidation>
    <dataValidation type="list" allowBlank="1" showInputMessage="1" showErrorMessage="1" errorTitle="Invalid value entered" error="The crossing subtype is not compatible with a crossing type of Closed Bottom Structure" sqref="M46" xr:uid="{ABB4332D-19DB-4ECC-96A9-285FC32D5E47}">
      <formula1>"Round Culvert,Oval Culvert,Concrete Box"</formula1>
    </dataValidation>
    <dataValidation type="decimal" allowBlank="1" showInputMessage="1" showErrorMessage="1" errorTitle="Invalid Diamter or Span" error="The Diameter or Span entered is invalid. Diameter or Span must be &gt; 0 and &lt; 300" sqref="N46" xr:uid="{79B41C5F-7F8C-4EEA-AEB9-D029B809E587}">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46" xr:uid="{3924D3C9-EFAE-4577-8C0C-2BCB8DF66A7B}">
      <formula1>0.01</formula1>
      <formula2>0.49</formula2>
    </dataValidation>
    <dataValidation type="list" allowBlank="1" showInputMessage="1" showErrorMessage="1" errorTitle="Invalid value entered" error="The crossing subtype is not compatible with a crossing type of Closed Bottom Structure" sqref="M47" xr:uid="{ED1B1126-AAA6-46CA-9A71-C2AFA6E91157}">
      <formula1>"Round Culvert,Oval Culvert,Concrete Box"</formula1>
    </dataValidation>
    <dataValidation type="decimal" allowBlank="1" showInputMessage="1" showErrorMessage="1" errorTitle="Invalid Diamter or Span" error="The Diameter or Span entered is invalid. Diameter or Span must be &gt; 0 and &lt; 300" sqref="N47" xr:uid="{A4329FC2-48AC-497B-ADEE-A8B33B226361}">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47" xr:uid="{8ABFD1EC-13D3-4351-AA4D-F702662C4699}">
      <formula1>0.01</formula1>
      <formula2>0.99</formula2>
    </dataValidation>
    <dataValidation type="list" allowBlank="1" showInputMessage="1" showErrorMessage="1" errorTitle="Invalid value entered" error="The crossing subtype is not compatible with a crossing type of Other" sqref="M48" xr:uid="{10B5DD00-F98F-4DA5-9538-37F1FC32580E}">
      <formula1>"Ford"</formula1>
    </dataValidation>
    <dataValidation type="list" allowBlank="1" showInputMessage="1" showErrorMessage="1" errorTitle="Invalid value entered" error="The crossing subtype is not compatible with a crossing type of Closed Bottom Structure" sqref="M49" xr:uid="{DBB65746-AD50-40E9-B789-48C449AD2541}">
      <formula1>"Round Culvert,Oval Culvert,Concrete Box"</formula1>
    </dataValidation>
    <dataValidation type="decimal" allowBlank="1" showInputMessage="1" showErrorMessage="1" errorTitle="Invalid Diamter or Span" error="The Diameter or Span entered is invalid. Diameter or Span must be &gt; 0 and &lt; 300" sqref="N49" xr:uid="{FC50C121-53C9-452F-82A5-F9020C23D6D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49" xr:uid="{9ABA6EC3-EF14-41B8-8EC5-E170C6F15031}">
      <formula1>0.01</formula1>
      <formula2>1.19</formula2>
    </dataValidation>
    <dataValidation type="list" allowBlank="1" showInputMessage="1" showErrorMessage="1" errorTitle="Invalid value entered" error="The crossing subtype is not compatible with a crossing type of Other" sqref="M50" xr:uid="{7402D1CF-707C-41DF-84AA-98D749E244C8}">
      <formula1>"Ford"</formula1>
    </dataValidation>
    <dataValidation type="list" allowBlank="1" showInputMessage="1" showErrorMessage="1" errorTitle="Invalid value entered" error="The crossing subtype is not compatible with a crossing type of Closed Bottom Structure" sqref="M51" xr:uid="{658F14E9-CFC5-448F-9A63-DD117B50D078}">
      <formula1>"Round Culvert,Oval Culvert,Concrete Box"</formula1>
    </dataValidation>
    <dataValidation type="decimal" allowBlank="1" showInputMessage="1" showErrorMessage="1" errorTitle="Invalid Diamter or Span" error="The Diameter or Span entered is invalid. Diameter or Span must be &gt; 0 and &lt; 300" sqref="N51" xr:uid="{81C6C6BB-0000-4EB2-8D37-6A21BAD7A7C5}">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1" xr:uid="{8BC8A3BC-EBC8-493A-8391-40CB0B31C47F}">
      <formula1>0.01</formula1>
      <formula2>1.74</formula2>
    </dataValidation>
    <dataValidation type="list" allowBlank="1" showInputMessage="1" showErrorMessage="1" errorTitle="Invalid value entered" error="The crossing subtype is not compatible with a crossing type of Open Bottom Structure" sqref="M52" xr:uid="{5BC223B2-08E4-40C3-98D7-3766B0F49F55}">
      <formula1>"Bridge, Pipe Arch, Wood Box Culvert"</formula1>
    </dataValidation>
    <dataValidation type="decimal" allowBlank="1" showInputMessage="1" showErrorMessage="1" errorTitle="Invalid Diamter or Span" error="The Diameter or Span entered is invalid. Diameter or Span must be &gt; 0 and &lt; 100" sqref="N52" xr:uid="{74CC3720-1F66-4E93-AB49-ABE67ADAC9A5}">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52" xr:uid="{FA32B374-D89E-4233-890D-0087FD8EB734}">
      <formula1>0.01</formula1>
      <formula2>12.99</formula2>
    </dataValidation>
    <dataValidation type="list" allowBlank="1" showInputMessage="1" showErrorMessage="1" errorTitle="Invalid value entered" error="The crossing subtype is not compatible with a crossing type of Closed Bottom Structure" sqref="M53" xr:uid="{5181CB02-9602-44A3-8E2E-E84DF582031E}">
      <formula1>"Round Culvert,Oval Culvert,Concrete Box"</formula1>
    </dataValidation>
    <dataValidation type="decimal" allowBlank="1" showInputMessage="1" showErrorMessage="1" errorTitle="Invalid Diamter or Span" error="The Diameter or Span entered is invalid. Diameter or Span must be &gt; 0 and &lt; 300" sqref="N53" xr:uid="{674C6B78-C945-4DCA-BA1B-C4EC79348088}">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3" xr:uid="{FE46721E-7DF5-417B-B2B6-41A6FC8BC4F9}">
      <formula1>0.01</formula1>
      <formula2>0.99</formula2>
    </dataValidation>
    <dataValidation type="list" allowBlank="1" showInputMessage="1" showErrorMessage="1" errorTitle="Invalid value entered" error="The crossing subtype is not compatible with a crossing type of Closed Bottom Structure" sqref="M54" xr:uid="{F280BB6F-3016-4060-99A9-3CE7C22BA89B}">
      <formula1>"Round Culvert,Oval Culvert,Concrete Box"</formula1>
    </dataValidation>
    <dataValidation type="decimal" allowBlank="1" showInputMessage="1" showErrorMessage="1" errorTitle="Invalid Diamter or Span" error="The Diameter or Span entered is invalid. Diameter or Span must be &gt; 0 and &lt; 300" sqref="N54" xr:uid="{25B1CF8A-B53E-47D2-987B-E50B731973BD}">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54" xr:uid="{C6970F5D-A10A-4AE0-8709-B136AADB492C}">
      <formula1>0.01</formula1>
      <formula2>3.59</formula2>
    </dataValidation>
    <dataValidation type="list" allowBlank="1" showInputMessage="1" showErrorMessage="1" errorTitle="Invalid value entered" error="The crossing subtype is not compatible with a crossing type of Open Bottom Structure" sqref="M55" xr:uid="{A8F370C6-AE7D-4497-A9B8-A90B86979FED}">
      <formula1>"Bridge, Pipe Arch, Wood Box Culvert"</formula1>
    </dataValidation>
    <dataValidation type="decimal" allowBlank="1" showInputMessage="1" showErrorMessage="1" errorTitle="Invalid Diamter or Span" error="The Diameter or Span entered is invalid. Diameter or Span must be &gt; 0 and &lt; 100" sqref="N55" xr:uid="{4177C207-3122-4072-8295-6D78DDFE32D0}">
      <formula1>0.01</formula1>
      <formula2>100</formula2>
    </dataValidation>
    <dataValidation type="decimal" allowBlank="1" showInputMessage="1" showErrorMessage="1" errorTitle="Invalid value entered" error="The Average Depth Embededdment you entered is invalid. The Average Depth Embededdment must be &lt;= 19.59 and &gt;= 0.01" sqref="Q55" xr:uid="{B0519075-12C3-4E89-87A9-0B5C29E44664}">
      <formula1>0.01</formula1>
      <formula2>19.59</formula2>
    </dataValidation>
    <dataValidation type="list" allowBlank="1" showInputMessage="1" showErrorMessage="1" errorTitle="Invalid value entered" error="The crossing subtype is not compatible with a crossing type of Closed Bottom Structure" sqref="M56" xr:uid="{612C6805-22BD-4669-A6EA-DB264335DC38}">
      <formula1>"Round Culvert,Oval Culvert,Concrete Box"</formula1>
    </dataValidation>
    <dataValidation type="decimal" allowBlank="1" showInputMessage="1" showErrorMessage="1" errorTitle="Invalid Diamter or Span" error="The Diameter or Span entered is invalid. Diameter or Span must be &gt; 0 and &lt; 300" sqref="N56" xr:uid="{1B8C5E18-DE9A-4CD2-8E83-92ADF3AEBC0D}">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6" xr:uid="{86A1E6D2-AC0B-451B-9559-A2F0ED367CE1}">
      <formula1>0.01</formula1>
      <formula2>1.74</formula2>
    </dataValidation>
    <dataValidation type="list" allowBlank="1" showInputMessage="1" showErrorMessage="1" errorTitle="Invalid value entered" error="The crossing subtype is not compatible with a crossing type of Closed Bottom Structure" sqref="M57" xr:uid="{60A60588-2D33-4C3F-8949-5139225DA262}">
      <formula1>"Round Culvert,Oval Culvert,Concrete Box"</formula1>
    </dataValidation>
    <dataValidation type="decimal" allowBlank="1" showInputMessage="1" showErrorMessage="1" errorTitle="Invalid Diamter or Span" error="The Diameter or Span entered is invalid. Diameter or Span must be &gt; 0 and &lt; 300" sqref="N57" xr:uid="{8E026E34-200C-4EE5-ABA3-3763BA3E7BDC}">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7" xr:uid="{D5414A49-B818-4B32-BE7F-91F960DB521B}">
      <formula1>0.01</formula1>
      <formula2>1.74</formula2>
    </dataValidation>
    <dataValidation type="list" allowBlank="1" showInputMessage="1" showErrorMessage="1" errorTitle="Invalid value entered" error="The crossing subtype is not compatible with a crossing type of Closed Bottom Structure" sqref="M58" xr:uid="{C551DCE3-AAB1-4F59-8437-121C10926C48}">
      <formula1>"Round Culvert,Oval Culvert,Concrete Box"</formula1>
    </dataValidation>
    <dataValidation type="decimal" allowBlank="1" showInputMessage="1" showErrorMessage="1" errorTitle="Invalid Diamter or Span" error="The Diameter or Span entered is invalid. Diameter or Span must be &gt; 0 and &lt; 300" sqref="N58" xr:uid="{91A48ECF-A5A5-4DDC-BF4E-34B5F65AA7F5}">
      <formula1>0.01</formula1>
      <formula2>300</formula2>
    </dataValidation>
    <dataValidation type="decimal" allowBlank="1" showInputMessage="1" showErrorMessage="1" errorTitle="Invalid value entered" error="The Average Depth Embededdment you entered is invalid. The Average Depth Embededdment must be &lt;= 2.09 and &gt;= 0.01" sqref="Q58" xr:uid="{ADFF035E-1A94-4ACF-8805-B68826A7B77D}">
      <formula1>0.01</formula1>
      <formula2>2.09</formula2>
    </dataValidation>
    <dataValidation type="list" allowBlank="1" showInputMessage="1" showErrorMessage="1" errorTitle="Invalid value entered" error="The crossing subtype is not compatible with a crossing type of Closed Bottom Structure" sqref="M59" xr:uid="{EADDA4CE-50FC-429F-8C10-1567AA3BA0BD}">
      <formula1>"Round Culvert,Oval Culvert,Concrete Box"</formula1>
    </dataValidation>
    <dataValidation type="decimal" allowBlank="1" showInputMessage="1" showErrorMessage="1" errorTitle="Invalid Diamter or Span" error="The Diameter or Span entered is invalid. Diameter or Span must be &gt; 0 and &lt; 300" sqref="N59" xr:uid="{B990B6F7-CF34-4FB6-8085-AB4E563D284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9" xr:uid="{1BF1EED4-3292-4940-8D1D-EE3A603EC9C7}">
      <formula1>0.01</formula1>
      <formula2>1.19</formula2>
    </dataValidation>
    <dataValidation type="list" allowBlank="1" showInputMessage="1" showErrorMessage="1" errorTitle="Invalid value entered" error="The crossing subtype is not compatible with a crossing type of Open Bottom Structure" sqref="M60" xr:uid="{866775F7-25B5-4AC3-B4D3-8507C7130F31}">
      <formula1>"Bridge, Pipe Arch, Wood Box Culvert"</formula1>
    </dataValidation>
    <dataValidation type="decimal" allowBlank="1" showInputMessage="1" showErrorMessage="1" errorTitle="Invalid Diamter or Span" error="The Diameter or Span entered is invalid. Diameter or Span must be &gt; 0 and &lt; 100" sqref="N60" xr:uid="{52E65CB2-607A-47CE-AE45-8C14A80663DA}">
      <formula1>0.01</formula1>
      <formula2>100</formula2>
    </dataValidation>
    <dataValidation type="decimal" allowBlank="1" showInputMessage="1" showErrorMessage="1" errorTitle="Invalid value entered" error="The Average Depth Embededdment you entered is invalid. The Average Depth Embededdment must be &lt;= 6.99 and &gt;= 0.01" sqref="Q60" xr:uid="{E8339C59-E97D-4DBD-836E-74B933ADC525}">
      <formula1>0.01</formula1>
      <formula2>6.99</formula2>
    </dataValidation>
    <dataValidation type="list" allowBlank="1" showInputMessage="1" showErrorMessage="1" errorTitle="Invalid value entered" error="The crossing subtype is not compatible with a crossing type of Closed Bottom Structure" sqref="M61" xr:uid="{3D023377-FC66-439A-AC6B-B86C821EF66B}">
      <formula1>"Round Culvert,Oval Culvert,Concrete Box"</formula1>
    </dataValidation>
    <dataValidation type="decimal" allowBlank="1" showInputMessage="1" showErrorMessage="1" errorTitle="Invalid Diamter or Span" error="The Diameter or Span entered is invalid. Diameter or Span must be &gt; 0 and &lt; 300" sqref="N61" xr:uid="{FF0A2F11-19CC-4D3B-B093-42B5E88222D9}">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61" xr:uid="{8FDB7C85-947F-4228-8558-5639A50CE5C1}">
      <formula1>0.01</formula1>
      <formula2>0.49</formula2>
    </dataValidation>
    <dataValidation type="list" allowBlank="1" showInputMessage="1" showErrorMessage="1" errorTitle="Invalid value entered" error="The crossing subtype is not compatible with a crossing type of Closed Bottom Structure" sqref="M62" xr:uid="{76163C67-4B77-43D8-90D8-1AC29B5DF423}">
      <formula1>"Round Culvert,Oval Culvert,Concrete Box"</formula1>
    </dataValidation>
    <dataValidation type="decimal" allowBlank="1" showInputMessage="1" showErrorMessage="1" errorTitle="Invalid Diamter or Span" error="The Diameter or Span entered is invalid. Diameter or Span must be &gt; 0 and &lt; 300" sqref="N62" xr:uid="{0DE989C0-EF55-4BE5-9652-D8013CAFAAD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2" xr:uid="{D81DF8AE-EB36-4083-B3AE-37FBD63DD1D5}">
      <formula1>0.01</formula1>
      <formula2>1.19</formula2>
    </dataValidation>
    <dataValidation type="list" allowBlank="1" showInputMessage="1" showErrorMessage="1" errorTitle="Invalid value entered" error="The crossing subtype is not compatible with a crossing type of Open Bottom Structure" sqref="M63" xr:uid="{E734B661-D601-4D2A-A79C-7EB1F0C101ED}">
      <formula1>"Bridge, Pipe Arch, Wood Box Culvert"</formula1>
    </dataValidation>
    <dataValidation type="decimal" allowBlank="1" showInputMessage="1" showErrorMessage="1" errorTitle="Invalid Diamter or Span" error="The Diameter or Span entered is invalid. Diameter or Span must be &gt; 0 and &lt; 100" sqref="N63" xr:uid="{A50ECDCC-D874-45AD-A0AA-9A562CA4AE87}">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63" xr:uid="{A237B1D2-2BF3-4880-ADD0-EABAE156AB18}">
      <formula1>0.01</formula1>
      <formula2>12.99</formula2>
    </dataValidation>
    <dataValidation type="list" allowBlank="1" showInputMessage="1" showErrorMessage="1" errorTitle="Invalid value entered" error="The crossing subtype is not compatible with a crossing type of Closed Bottom Structure" sqref="M64" xr:uid="{E043E7E4-FCD4-4ECD-A258-94C9C13FEA3C}">
      <formula1>"Round Culvert,Oval Culvert,Concrete Box"</formula1>
    </dataValidation>
    <dataValidation type="decimal" allowBlank="1" showInputMessage="1" showErrorMessage="1" errorTitle="Invalid Diamter or Span" error="The Diameter or Span entered is invalid. Diameter or Span must be &gt; 0 and &lt; 300" sqref="N64" xr:uid="{89BC3524-BC80-4558-B453-24AD5693254A}">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4" xr:uid="{7BC31022-5558-4F82-87A4-9AF737518449}">
      <formula1>0.01</formula1>
      <formula2>0.59</formula2>
    </dataValidation>
    <dataValidation type="list" allowBlank="1" showInputMessage="1" showErrorMessage="1" errorTitle="Invalid value entered" error="The crossing subtype is not compatible with a crossing type of Closed Bottom Structure" sqref="M65" xr:uid="{200EB20F-1BE5-4FD4-B719-872444A16BE5}">
      <formula1>"Round Culvert,Oval Culvert,Concrete Box"</formula1>
    </dataValidation>
    <dataValidation type="decimal" allowBlank="1" showInputMessage="1" showErrorMessage="1" errorTitle="Invalid Diamter or Span" error="The Diameter or Span entered is invalid. Diameter or Span must be &gt; 0 and &lt; 300" sqref="N65" xr:uid="{16D126E8-BF66-45FB-BB5D-CCF60E62C865}">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5" xr:uid="{FCEB27F7-2ABF-4D79-A7B5-5A5BFA2FF9B4}">
      <formula1>0.01</formula1>
      <formula2>0.69</formula2>
    </dataValidation>
    <dataValidation type="list" allowBlank="1" showInputMessage="1" showErrorMessage="1" errorTitle="Invalid value entered" error="The crossing subtype is not compatible with a crossing type of Closed Bottom Structure" sqref="M66" xr:uid="{C2FFB4FF-0684-4B90-91FA-30EDD21698F7}">
      <formula1>"Round Culvert,Oval Culvert,Concrete Box"</formula1>
    </dataValidation>
    <dataValidation type="decimal" allowBlank="1" showInputMessage="1" showErrorMessage="1" errorTitle="Invalid Diamter or Span" error="The Diameter or Span entered is invalid. Diameter or Span must be &gt; 0 and &lt; 300" sqref="N66" xr:uid="{0A8A5603-B17C-4658-AD50-9A01C32164D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6" xr:uid="{B477308A-B8C0-445F-AD93-A72738EF7D3D}">
      <formula1>0.01</formula1>
      <formula2>0.59</formula2>
    </dataValidation>
    <dataValidation type="list" allowBlank="1" showInputMessage="1" showErrorMessage="1" errorTitle="Invalid value entered" error="The crossing subtype is not compatible with a crossing type of Open Bottom Structure" sqref="M67" xr:uid="{B3250F0E-F2ED-4F2A-974A-2CD43D3C51FB}">
      <formula1>"Bridge, Pipe Arch, Wood Box Culvert"</formula1>
    </dataValidation>
    <dataValidation type="decimal" allowBlank="1" showInputMessage="1" showErrorMessage="1" errorTitle="Invalid Diamter or Span" error="The Diameter or Span entered is invalid. Diameter or Span must be &gt; 0 and &lt; 100" sqref="N67" xr:uid="{BC71DCF0-A4F0-4F43-9DEE-382D6E24BB6F}">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7" xr:uid="{8BFFEA16-0CA5-41A3-A2E8-BCAF54DECA4B}">
      <formula1>0.01</formula1>
      <formula2>11.99</formula2>
    </dataValidation>
    <dataValidation type="list" allowBlank="1" showInputMessage="1" showErrorMessage="1" errorTitle="Invalid value entered" error="The crossing subtype is not compatible with a crossing type of Closed Bottom Structure" sqref="M68" xr:uid="{EFAAA105-CC2F-4748-8C2E-7D4360A28B81}">
      <formula1>"Round Culvert,Oval Culvert,Concrete Box"</formula1>
    </dataValidation>
    <dataValidation type="decimal" allowBlank="1" showInputMessage="1" showErrorMessage="1" errorTitle="Invalid Diamter or Span" error="The Diameter or Span entered is invalid. Diameter or Span must be &gt; 0 and &lt; 300" sqref="N68" xr:uid="{1BCEE2CA-DAA5-4EE8-94AE-83D23690ADD4}">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68" xr:uid="{3C95F2E7-BC1B-4FFF-B4E1-9B0CBCAF461A}">
      <formula1>0.01</formula1>
      <formula2>1.39</formula2>
    </dataValidation>
    <dataValidation type="list" allowBlank="1" showInputMessage="1" showErrorMessage="1" errorTitle="Invalid value entered" error="The crossing subtype is not compatible with a crossing type of Open Bottom Structure" sqref="M69" xr:uid="{EC5FE2B0-2AC1-4B73-A0E8-FA89EEA60BC0}">
      <formula1>"Bridge, Pipe Arch, Wood Box Culvert"</formula1>
    </dataValidation>
    <dataValidation type="decimal" allowBlank="1" showInputMessage="1" showErrorMessage="1" errorTitle="Invalid Diamter or Span" error="The Diameter or Span entered is invalid. Diameter or Span must be &gt; 0 and &lt; 100" sqref="N69" xr:uid="{CC999C50-9A7A-4FAD-8E7C-DFEC5F8CDB3B}">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69" xr:uid="{F9FDB066-3D64-488F-B0F0-0BF33128ACEF}">
      <formula1>0.01</formula1>
      <formula2>7.99</formula2>
    </dataValidation>
    <dataValidation type="list" allowBlank="1" showInputMessage="1" showErrorMessage="1" errorTitle="Invalid value entered" error="The crossing subtype is not compatible with a crossing type of Open Bottom Structure" sqref="M70" xr:uid="{919D6285-9C75-47F4-A122-B141B616562B}">
      <formula1>"Bridge, Pipe Arch, Wood Box Culvert"</formula1>
    </dataValidation>
    <dataValidation type="decimal" allowBlank="1" showInputMessage="1" showErrorMessage="1" errorTitle="Invalid Diamter or Span" error="The Diameter or Span entered is invalid. Diameter or Span must be &gt; 0 and &lt; 100" sqref="N70" xr:uid="{50152747-E9EB-4C8C-81C9-F9854ED4A10F}">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0" xr:uid="{53323E9D-07E7-462B-BCAF-9A080B637B13}">
      <formula1>0.01</formula1>
      <formula2>15.99</formula2>
    </dataValidation>
    <dataValidation type="list" allowBlank="1" showInputMessage="1" showErrorMessage="1" errorTitle="Invalid value entered" error="The crossing subtype is not compatible with a crossing type of Open Bottom Structure" sqref="M71" xr:uid="{06D61297-59C4-4C93-AF59-33BCD7B3583C}">
      <formula1>"Bridge, Pipe Arch, Wood Box Culvert"</formula1>
    </dataValidation>
    <dataValidation type="decimal" allowBlank="1" showInputMessage="1" showErrorMessage="1" errorTitle="Invalid Diamter or Span" error="The Diameter or Span entered is invalid. Diameter or Span must be &gt; 0 and &lt; 100" sqref="N71" xr:uid="{6B4C6515-771E-4D01-9654-65A1286A8343}">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1" xr:uid="{2C531228-C838-490D-85DF-28346AC6D7EC}">
      <formula1>0.01</formula1>
      <formula2>9.99</formula2>
    </dataValidation>
    <dataValidation type="list" allowBlank="1" showInputMessage="1" showErrorMessage="1" errorTitle="Invalid value entered" error="The crossing subtype is not compatible with a crossing type of Open Bottom Structure" sqref="M72" xr:uid="{6110217B-6909-428C-9693-4EB7BE6B5343}">
      <formula1>"Bridge, Pipe Arch, Wood Box Culvert"</formula1>
    </dataValidation>
    <dataValidation type="decimal" allowBlank="1" showInputMessage="1" showErrorMessage="1" errorTitle="Invalid Diamter or Span" error="The Diameter or Span entered is invalid. Diameter or Span must be &gt; 0 and &lt; 100" sqref="N72" xr:uid="{C6836BB3-568E-4B5D-943E-99F9662EA0BE}">
      <formula1>0.01</formula1>
      <formula2>100</formula2>
    </dataValidation>
    <dataValidation type="decimal" allowBlank="1" showInputMessage="1" showErrorMessage="1" errorTitle="Invalid value entered" error="The Average Depth Embededdment you entered is invalid. The Average Depth Embededdment must be &lt;= 16.99 and &gt;= 0.01" sqref="Q72" xr:uid="{29E029E8-FAAE-4410-9E7E-865976D484CC}">
      <formula1>0.01</formula1>
      <formula2>16.99</formula2>
    </dataValidation>
    <dataValidation type="list" allowBlank="1" showInputMessage="1" showErrorMessage="1" errorTitle="Invalid value entered" error="The crossing subtype is not compatible with a crossing type of Open Bottom Structure" sqref="M73" xr:uid="{06A16FAC-203B-4247-8AB8-63513BBB3F8B}">
      <formula1>"Bridge, Pipe Arch, Wood Box Culvert"</formula1>
    </dataValidation>
    <dataValidation type="decimal" allowBlank="1" showInputMessage="1" showErrorMessage="1" errorTitle="Invalid Diamter or Span" error="The Diameter or Span entered is invalid. Diameter or Span must be &gt; 0 and &lt; 100" sqref="N73" xr:uid="{1352385A-625B-40A3-8722-3351CD2FD673}">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3" xr:uid="{66567AF9-1A0A-4257-B747-4E8781EB382E}">
      <formula1>0.01</formula1>
      <formula2>15.99</formula2>
    </dataValidation>
    <dataValidation type="list" allowBlank="1" showInputMessage="1" showErrorMessage="1" errorTitle="Invalid value entered" error="The crossing subtype is not compatible with a crossing type of Open Bottom Structure" sqref="M74" xr:uid="{6215ED9E-DC5C-4E83-8E87-42AD60A9F0C4}">
      <formula1>"Bridge, Pipe Arch, Wood Box Culvert"</formula1>
    </dataValidation>
    <dataValidation type="decimal" allowBlank="1" showInputMessage="1" showErrorMessage="1" errorTitle="Invalid Diamter or Span" error="The Diameter or Span entered is invalid. Diameter or Span must be &gt; 0 and &lt; 100" sqref="N74" xr:uid="{CFF3A033-DD2A-4512-B887-E40D721230AD}">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4" xr:uid="{EF370D52-D97F-4188-9D0B-E319246A7FC3}">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2023-10-27T21:43:08Z</dcterms:modified>
</cp:coreProperties>
</file>