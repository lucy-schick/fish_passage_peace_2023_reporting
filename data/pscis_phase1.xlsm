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424B88C9-BAB9-4B03-8F5F-7FFB2A5B0B9F}"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50" i="2"/>
  <c r="AM48" i="2"/>
  <c r="AM45" i="2"/>
  <c r="AM40" i="2"/>
  <c r="AM30" i="2"/>
  <c r="AM26" i="2"/>
  <c r="AM2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L20" i="2" s="1"/>
  <c r="AM20" i="2" s="1"/>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L572" i="2" s="1"/>
  <c r="AF573" i="2"/>
  <c r="AK573" i="2"/>
  <c r="AG573" i="2"/>
  <c r="AH573" i="2"/>
  <c r="AI573" i="2"/>
  <c r="AJ573" i="2"/>
  <c r="AF574" i="2"/>
  <c r="AK574" i="2"/>
  <c r="AL574" i="2" s="1"/>
  <c r="AG574" i="2"/>
  <c r="AH574" i="2"/>
  <c r="AI574" i="2"/>
  <c r="AJ574" i="2"/>
  <c r="AF575" i="2"/>
  <c r="AK575" i="2"/>
  <c r="AG575" i="2"/>
  <c r="AH575" i="2"/>
  <c r="AL575" i="2" s="1"/>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L581" i="2" s="1"/>
  <c r="AG581" i="2"/>
  <c r="AH581" i="2"/>
  <c r="AI581" i="2"/>
  <c r="AJ581" i="2"/>
  <c r="AF582" i="2"/>
  <c r="AK582" i="2"/>
  <c r="AG582" i="2"/>
  <c r="AH582" i="2"/>
  <c r="AL582" i="2" s="1"/>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L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L643" i="2" s="1"/>
  <c r="AJ643" i="2"/>
  <c r="AF644" i="2"/>
  <c r="AK644" i="2"/>
  <c r="AG644" i="2"/>
  <c r="AH644" i="2"/>
  <c r="AI644" i="2"/>
  <c r="AJ644" i="2"/>
  <c r="AF645" i="2"/>
  <c r="AK645" i="2" s="1"/>
  <c r="AL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s="1"/>
  <c r="AG653" i="2"/>
  <c r="AH653" i="2"/>
  <c r="AI653" i="2"/>
  <c r="AJ653" i="2"/>
  <c r="AL653" i="2" s="1"/>
  <c r="AF654" i="2"/>
  <c r="AK654" i="2" s="1"/>
  <c r="AG654" i="2"/>
  <c r="AH654" i="2"/>
  <c r="AI654" i="2"/>
  <c r="AJ654" i="2"/>
  <c r="AF655" i="2"/>
  <c r="AK655" i="2"/>
  <c r="AG655" i="2"/>
  <c r="AL655" i="2" s="1"/>
  <c r="AH655" i="2"/>
  <c r="AI655" i="2"/>
  <c r="AJ655" i="2"/>
  <c r="AF656" i="2"/>
  <c r="AK656" i="2"/>
  <c r="AG656" i="2"/>
  <c r="AH656" i="2"/>
  <c r="AI656" i="2"/>
  <c r="AL656" i="2" s="1"/>
  <c r="AJ656" i="2"/>
  <c r="AF657" i="2"/>
  <c r="AK657" i="2" s="1"/>
  <c r="AG657" i="2"/>
  <c r="AH657" i="2"/>
  <c r="AI657" i="2"/>
  <c r="AJ657" i="2"/>
  <c r="AF658" i="2"/>
  <c r="AK658" i="2" s="1"/>
  <c r="AG658" i="2"/>
  <c r="AL658" i="2" s="1"/>
  <c r="AH658" i="2"/>
  <c r="AI658" i="2"/>
  <c r="AJ658" i="2"/>
  <c r="AF659" i="2"/>
  <c r="AK659" i="2"/>
  <c r="AG659" i="2"/>
  <c r="AH659" i="2"/>
  <c r="AI659" i="2"/>
  <c r="AL659" i="2" s="1"/>
  <c r="AJ659" i="2"/>
  <c r="AF660" i="2"/>
  <c r="AK660" i="2"/>
  <c r="AG660" i="2"/>
  <c r="AH660" i="2"/>
  <c r="AI660" i="2"/>
  <c r="AJ660" i="2"/>
  <c r="AF661" i="2"/>
  <c r="AK661" i="2" s="1"/>
  <c r="AL661" i="2" s="1"/>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s="1"/>
  <c r="AG669" i="2"/>
  <c r="AH669" i="2"/>
  <c r="AI669" i="2"/>
  <c r="AJ669" i="2"/>
  <c r="AL669" i="2" s="1"/>
  <c r="AF670" i="2"/>
  <c r="AK670" i="2" s="1"/>
  <c r="AG670" i="2"/>
  <c r="AH670" i="2"/>
  <c r="AI670" i="2"/>
  <c r="AJ670" i="2"/>
  <c r="AF671" i="2"/>
  <c r="AK671" i="2"/>
  <c r="AG671" i="2"/>
  <c r="AL671" i="2" s="1"/>
  <c r="AH671" i="2"/>
  <c r="AI671" i="2"/>
  <c r="AJ671" i="2"/>
  <c r="AF672" i="2"/>
  <c r="AK672" i="2"/>
  <c r="AG672" i="2"/>
  <c r="AH672" i="2"/>
  <c r="AI672" i="2"/>
  <c r="AJ672" i="2"/>
  <c r="AF673" i="2"/>
  <c r="AK673" i="2" s="1"/>
  <c r="AG673" i="2"/>
  <c r="AH673" i="2"/>
  <c r="AI673" i="2"/>
  <c r="AJ673" i="2"/>
  <c r="AF674" i="2"/>
  <c r="AK674" i="2" s="1"/>
  <c r="AG674" i="2"/>
  <c r="AL674" i="2" s="1"/>
  <c r="AH674" i="2"/>
  <c r="AI674" i="2"/>
  <c r="AJ674" i="2"/>
  <c r="AF675" i="2"/>
  <c r="AK675" i="2"/>
  <c r="AG675" i="2"/>
  <c r="AH675" i="2"/>
  <c r="AI675" i="2"/>
  <c r="AL675" i="2" s="1"/>
  <c r="AJ675" i="2"/>
  <c r="AF676" i="2"/>
  <c r="AK676" i="2"/>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c r="AG687" i="2"/>
  <c r="AL687" i="2" s="1"/>
  <c r="AH687" i="2"/>
  <c r="AI687" i="2"/>
  <c r="AJ687" i="2"/>
  <c r="AF688" i="2"/>
  <c r="AK688" i="2"/>
  <c r="AG688" i="2"/>
  <c r="AH688" i="2"/>
  <c r="AI688" i="2"/>
  <c r="AL688" i="2" s="1"/>
  <c r="AJ688" i="2"/>
  <c r="AF689" i="2"/>
  <c r="AK689" i="2" s="1"/>
  <c r="AG689" i="2"/>
  <c r="AH689" i="2"/>
  <c r="AI689" i="2"/>
  <c r="AJ689" i="2"/>
  <c r="AF690" i="2"/>
  <c r="AK690" i="2" s="1"/>
  <c r="AG690" i="2"/>
  <c r="AH690" i="2"/>
  <c r="AI690" i="2"/>
  <c r="AJ690" i="2"/>
  <c r="AF691" i="2"/>
  <c r="AK691" i="2"/>
  <c r="AG691" i="2"/>
  <c r="AH691" i="2"/>
  <c r="AI691" i="2"/>
  <c r="AL691" i="2" s="1"/>
  <c r="AJ691" i="2"/>
  <c r="AF692" i="2"/>
  <c r="AK692" i="2"/>
  <c r="AG692" i="2"/>
  <c r="AH692" i="2"/>
  <c r="AI692" i="2"/>
  <c r="AJ692" i="2"/>
  <c r="AF693" i="2"/>
  <c r="AK693" i="2" s="1"/>
  <c r="AL693" i="2" s="1"/>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s="1"/>
  <c r="AG701" i="2"/>
  <c r="AH701" i="2"/>
  <c r="AI701" i="2"/>
  <c r="AJ701" i="2"/>
  <c r="AL701" i="2" s="1"/>
  <c r="AF702" i="2"/>
  <c r="AK702" i="2" s="1"/>
  <c r="AG702" i="2"/>
  <c r="AH702" i="2"/>
  <c r="AI702" i="2"/>
  <c r="AJ702" i="2"/>
  <c r="AF703" i="2"/>
  <c r="AK703" i="2"/>
  <c r="AG703" i="2"/>
  <c r="AL703" i="2" s="1"/>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L741" i="2" s="1"/>
  <c r="AJ741" i="2"/>
  <c r="AF742" i="2"/>
  <c r="AK742" i="2"/>
  <c r="AG742" i="2"/>
  <c r="AH742" i="2"/>
  <c r="AI742" i="2"/>
  <c r="AJ742" i="2"/>
  <c r="AF743" i="2"/>
  <c r="AK743" i="2" s="1"/>
  <c r="AL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L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L1111" i="2" s="1"/>
  <c r="AH1111" i="2"/>
  <c r="AI1111" i="2"/>
  <c r="AJ1111" i="2"/>
  <c r="AF1112" i="2"/>
  <c r="AK1112" i="2" s="1"/>
  <c r="AL1112" i="2" s="1"/>
  <c r="AG1112" i="2"/>
  <c r="AH1112" i="2"/>
  <c r="AI1112" i="2"/>
  <c r="AJ1112" i="2"/>
  <c r="AF1113" i="2"/>
  <c r="AK1113" i="2" s="1"/>
  <c r="AG1113" i="2"/>
  <c r="AH1113" i="2"/>
  <c r="AI1113" i="2"/>
  <c r="AJ1113" i="2"/>
  <c r="AF1114" i="2"/>
  <c r="AK1114" i="2" s="1"/>
  <c r="AG1114" i="2"/>
  <c r="AH1114" i="2"/>
  <c r="AI1114" i="2"/>
  <c r="AJ1114" i="2"/>
  <c r="AF1115" i="2"/>
  <c r="AK1115" i="2"/>
  <c r="AL1115" i="2" s="1"/>
  <c r="AG1115" i="2"/>
  <c r="AH1115" i="2"/>
  <c r="AI1115" i="2"/>
  <c r="AJ1115" i="2"/>
  <c r="AF1116" i="2"/>
  <c r="AK1116" i="2" s="1"/>
  <c r="AG1116" i="2"/>
  <c r="AH1116" i="2"/>
  <c r="AI1116" i="2"/>
  <c r="AL1116" i="2" s="1"/>
  <c r="AJ1116" i="2"/>
  <c r="AF1117" i="2"/>
  <c r="AK1117" i="2" s="1"/>
  <c r="AG1117" i="2"/>
  <c r="AH1117" i="2"/>
  <c r="AI1117" i="2"/>
  <c r="AJ1117" i="2"/>
  <c r="AF1118" i="2"/>
  <c r="AK1118" i="2" s="1"/>
  <c r="AG1118" i="2"/>
  <c r="AL1118" i="2" s="1"/>
  <c r="AH1118" i="2"/>
  <c r="AI1118" i="2"/>
  <c r="AJ1118" i="2"/>
  <c r="AF1119" i="2"/>
  <c r="AK1119" i="2"/>
  <c r="AG1119" i="2"/>
  <c r="AH1119" i="2"/>
  <c r="AI1119" i="2"/>
  <c r="AL1119" i="2" s="1"/>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L1125" i="2" s="1"/>
  <c r="AF1126" i="2"/>
  <c r="AK1126" i="2" s="1"/>
  <c r="AG1126" i="2"/>
  <c r="AH1126" i="2"/>
  <c r="AI1126" i="2"/>
  <c r="AJ1126" i="2"/>
  <c r="AF1127" i="2"/>
  <c r="AK1127" i="2"/>
  <c r="AG1127" i="2"/>
  <c r="AL1127" i="2" s="1"/>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c r="AL1135" i="2"/>
  <c r="AG1135" i="2"/>
  <c r="AH1135" i="2"/>
  <c r="AI1135" i="2"/>
  <c r="AJ1135" i="2"/>
  <c r="AF1136" i="2"/>
  <c r="AK1136" i="2"/>
  <c r="AG1136" i="2"/>
  <c r="AH1136" i="2"/>
  <c r="AI1136" i="2"/>
  <c r="AJ1136" i="2"/>
  <c r="AF1137" i="2"/>
  <c r="AK1137" i="2" s="1"/>
  <c r="AG1137" i="2"/>
  <c r="AH1137" i="2"/>
  <c r="AI1137" i="2"/>
  <c r="AL1137" i="2" s="1"/>
  <c r="AJ1137" i="2"/>
  <c r="AF1138" i="2"/>
  <c r="AK1138" i="2"/>
  <c r="AG1138" i="2"/>
  <c r="AH1138" i="2"/>
  <c r="AI1138" i="2"/>
  <c r="AJ1138" i="2"/>
  <c r="AF1139" i="2"/>
  <c r="AK1139" i="2" s="1"/>
  <c r="AL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L1224" i="2" s="1"/>
  <c r="AG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L1531" i="2" s="1"/>
  <c r="AJ1531" i="2"/>
  <c r="AF1532" i="2"/>
  <c r="AK1532" i="2" s="1"/>
  <c r="AG1532" i="2"/>
  <c r="AH1532" i="2"/>
  <c r="AI1532" i="2"/>
  <c r="AJ1532" i="2"/>
  <c r="AF1533" i="2"/>
  <c r="AK1533" i="2"/>
  <c r="AL1533" i="2" s="1"/>
  <c r="AG1533" i="2"/>
  <c r="AH1533" i="2"/>
  <c r="AI1533" i="2"/>
  <c r="AJ1533" i="2"/>
  <c r="AF1534" i="2"/>
  <c r="AK1534" i="2"/>
  <c r="AG1534" i="2"/>
  <c r="AH1534" i="2"/>
  <c r="AL1534" i="2" s="1"/>
  <c r="AI1534" i="2"/>
  <c r="AJ1534" i="2"/>
  <c r="AF1535" i="2"/>
  <c r="AK1535" i="2"/>
  <c r="AG1535" i="2"/>
  <c r="AH1535" i="2"/>
  <c r="AI1535" i="2"/>
  <c r="AJ1535" i="2"/>
  <c r="AL1535" i="2" s="1"/>
  <c r="AF1536" i="2"/>
  <c r="AK1536" i="2" s="1"/>
  <c r="AG1536" i="2"/>
  <c r="AH1536" i="2"/>
  <c r="AI1536" i="2"/>
  <c r="AJ1536" i="2"/>
  <c r="AF1537" i="2"/>
  <c r="AK1537" i="2"/>
  <c r="AG1537" i="2"/>
  <c r="AL1537" i="2" s="1"/>
  <c r="AH1537" i="2"/>
  <c r="AI1537" i="2"/>
  <c r="AJ1537" i="2"/>
  <c r="AF1538" i="2"/>
  <c r="AK1538" i="2"/>
  <c r="AG1538" i="2"/>
  <c r="AH1538" i="2"/>
  <c r="AI1538" i="2"/>
  <c r="AL1538" i="2" s="1"/>
  <c r="AJ1538" i="2"/>
  <c r="AF1539" i="2"/>
  <c r="AK1539" i="2"/>
  <c r="AG1539" i="2"/>
  <c r="AH1539" i="2"/>
  <c r="AI1539" i="2"/>
  <c r="AJ1539" i="2"/>
  <c r="AF1540" i="2"/>
  <c r="AK1540" i="2" s="1"/>
  <c r="AL1540" i="2" s="1"/>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s="1"/>
  <c r="AL1564" i="2" s="1"/>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L1580" i="2" s="1"/>
  <c r="AF1581" i="2"/>
  <c r="AK1581" i="2"/>
  <c r="AG1581" i="2"/>
  <c r="AH1581" i="2"/>
  <c r="AI1581" i="2"/>
  <c r="AJ1581" i="2"/>
  <c r="AF1582" i="2"/>
  <c r="AK1582" i="2"/>
  <c r="AL1582" i="2" s="1"/>
  <c r="AG1582" i="2"/>
  <c r="AH1582" i="2"/>
  <c r="AI1582" i="2"/>
  <c r="AJ1582" i="2"/>
  <c r="AF1583" i="2"/>
  <c r="AK1583" i="2"/>
  <c r="AG1583" i="2"/>
  <c r="AH1583" i="2"/>
  <c r="AL1583" i="2" s="1"/>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L1633" i="2" s="1"/>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L1668" i="2" s="1"/>
  <c r="AH1668" i="2"/>
  <c r="AI1668" i="2"/>
  <c r="AJ1668" i="2"/>
  <c r="AF1669" i="2"/>
  <c r="AK1669" i="2"/>
  <c r="AG1669" i="2"/>
  <c r="AH1669" i="2"/>
  <c r="AI1669" i="2"/>
  <c r="AL1669" i="2" s="1"/>
  <c r="AJ1669" i="2"/>
  <c r="AF1670" i="2"/>
  <c r="AK1670" i="2" s="1"/>
  <c r="AG1670" i="2"/>
  <c r="AH1670" i="2"/>
  <c r="AI1670" i="2"/>
  <c r="AJ1670" i="2"/>
  <c r="AF1671" i="2"/>
  <c r="AK1671" i="2"/>
  <c r="AL1671" i="2" s="1"/>
  <c r="AG1671" i="2"/>
  <c r="AH1671" i="2"/>
  <c r="AI1671" i="2"/>
  <c r="AJ1671" i="2"/>
  <c r="AF1672" i="2"/>
  <c r="AK1672" i="2"/>
  <c r="AG1672" i="2"/>
  <c r="AH1672" i="2"/>
  <c r="AL1672" i="2" s="1"/>
  <c r="AI1672" i="2"/>
  <c r="AJ1672" i="2"/>
  <c r="AF1673" i="2"/>
  <c r="AK1673" i="2"/>
  <c r="AG1673" i="2"/>
  <c r="AH1673" i="2"/>
  <c r="AI1673" i="2"/>
  <c r="AJ1673" i="2"/>
  <c r="AL1673" i="2" s="1"/>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L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L1692" i="2" s="1"/>
  <c r="AH1692" i="2"/>
  <c r="AI1692" i="2"/>
  <c r="AJ1692" i="2"/>
  <c r="AF1693" i="2"/>
  <c r="AK1693" i="2"/>
  <c r="AG1693" i="2"/>
  <c r="AH1693" i="2"/>
  <c r="AI1693" i="2"/>
  <c r="AL1693" i="2" s="1"/>
  <c r="AJ1693" i="2"/>
  <c r="AF1694" i="2"/>
  <c r="AK1694" i="2" s="1"/>
  <c r="AG1694" i="2"/>
  <c r="AH1694" i="2"/>
  <c r="AI1694" i="2"/>
  <c r="AJ1694" i="2"/>
  <c r="AF1695" i="2"/>
  <c r="AK1695" i="2"/>
  <c r="AL1695" i="2" s="1"/>
  <c r="AG1695" i="2"/>
  <c r="AH1695" i="2"/>
  <c r="AI1695" i="2"/>
  <c r="AJ1695" i="2"/>
  <c r="AF1696" i="2"/>
  <c r="AK1696" i="2"/>
  <c r="AG1696" i="2"/>
  <c r="AH1696" i="2"/>
  <c r="AL1696" i="2" s="1"/>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L1758" i="2" s="1"/>
  <c r="AF1759" i="2"/>
  <c r="AK1759" i="2"/>
  <c r="AG1759" i="2"/>
  <c r="AH1759" i="2"/>
  <c r="AI1759" i="2"/>
  <c r="AJ1759" i="2"/>
  <c r="AF1760" i="2"/>
  <c r="AK1760" i="2"/>
  <c r="AL1760" i="2" s="1"/>
  <c r="AG1760" i="2"/>
  <c r="AH1760" i="2"/>
  <c r="AI1760" i="2"/>
  <c r="AJ1760" i="2"/>
  <c r="AF1761" i="2"/>
  <c r="AK1761" i="2"/>
  <c r="AG1761" i="2"/>
  <c r="AH1761" i="2"/>
  <c r="AL1761" i="2" s="1"/>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c r="AG1778" i="2"/>
  <c r="AH1778" i="2"/>
  <c r="AI1778" i="2"/>
  <c r="AL1778" i="2" s="1"/>
  <c r="AJ1778" i="2"/>
  <c r="AF1779" i="2"/>
  <c r="AK1779" i="2" s="1"/>
  <c r="AG1779" i="2"/>
  <c r="AH1779" i="2"/>
  <c r="AI1779" i="2"/>
  <c r="AJ1779" i="2"/>
  <c r="AF1780" i="2"/>
  <c r="AK1780" i="2"/>
  <c r="AL1780" i="2" s="1"/>
  <c r="AG1780" i="2"/>
  <c r="AH1780" i="2"/>
  <c r="AI1780" i="2"/>
  <c r="AJ1780" i="2"/>
  <c r="AF1781" i="2"/>
  <c r="AK1781" i="2" s="1"/>
  <c r="AG1781" i="2"/>
  <c r="AH1781" i="2"/>
  <c r="AI1781" i="2"/>
  <c r="AJ1781" i="2"/>
  <c r="AF1782" i="2"/>
  <c r="AK1782" i="2"/>
  <c r="AG1782" i="2"/>
  <c r="AH1782" i="2"/>
  <c r="AI1782" i="2"/>
  <c r="AJ1782" i="2"/>
  <c r="AF1783" i="2"/>
  <c r="AK1783" i="2" s="1"/>
  <c r="AL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L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L1858" i="2" s="1"/>
  <c r="AI1858" i="2"/>
  <c r="AJ1858" i="2"/>
  <c r="AF1859" i="2"/>
  <c r="AK1859" i="2"/>
  <c r="AG1859" i="2"/>
  <c r="AH1859" i="2"/>
  <c r="AI1859" i="2"/>
  <c r="AJ1859" i="2"/>
  <c r="AL1859" i="2" s="1"/>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c r="AG1902" i="2"/>
  <c r="AL1902" i="2" s="1"/>
  <c r="AH1902" i="2"/>
  <c r="AI1902" i="2"/>
  <c r="AJ1902" i="2"/>
  <c r="AF1903" i="2"/>
  <c r="AK1903" i="2"/>
  <c r="AG1903" i="2"/>
  <c r="AH1903" i="2"/>
  <c r="AI1903" i="2"/>
  <c r="AL1903" i="2" s="1"/>
  <c r="AJ1903" i="2"/>
  <c r="AF1904" i="2"/>
  <c r="AK1904" i="2" s="1"/>
  <c r="AG1904" i="2"/>
  <c r="AH1904" i="2"/>
  <c r="AI1904" i="2"/>
  <c r="AJ1904" i="2"/>
  <c r="AF1905" i="2"/>
  <c r="AK1905" i="2"/>
  <c r="AG1905" i="2"/>
  <c r="AH1905" i="2"/>
  <c r="AI1905" i="2"/>
  <c r="AJ1905" i="2"/>
  <c r="AF1906" i="2"/>
  <c r="AK1906" i="2"/>
  <c r="AG1906" i="2"/>
  <c r="AH1906" i="2"/>
  <c r="AL1906" i="2" s="1"/>
  <c r="AI1906" i="2"/>
  <c r="AJ1906" i="2"/>
  <c r="AF1907" i="2"/>
  <c r="AK1907" i="2"/>
  <c r="AG1907" i="2"/>
  <c r="AH1907" i="2"/>
  <c r="AI1907" i="2"/>
  <c r="AJ1907" i="2"/>
  <c r="AL1907" i="2" s="1"/>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L1922" i="2" s="1"/>
  <c r="AG1922" i="2"/>
  <c r="AH1922" i="2"/>
  <c r="AI1922" i="2"/>
  <c r="AJ1922" i="2"/>
  <c r="AF1923" i="2"/>
  <c r="AK1923" i="2"/>
  <c r="AG1923" i="2"/>
  <c r="AH1923" i="2"/>
  <c r="AL1923" i="2" s="1"/>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L1966" i="2" s="1"/>
  <c r="AH1966" i="2"/>
  <c r="AI1966" i="2"/>
  <c r="AJ1966" i="2"/>
  <c r="AF1967" i="2"/>
  <c r="AK1967" i="2"/>
  <c r="AG1967" i="2"/>
  <c r="AH1967" i="2"/>
  <c r="AI1967" i="2"/>
  <c r="AL1967" i="2" s="1"/>
  <c r="AJ1967" i="2"/>
  <c r="AF1968" i="2"/>
  <c r="AK1968" i="2" s="1"/>
  <c r="AG1968" i="2"/>
  <c r="AH1968" i="2"/>
  <c r="AI1968" i="2"/>
  <c r="AJ1968" i="2"/>
  <c r="AF1969" i="2"/>
  <c r="AK1969" i="2"/>
  <c r="AG1969" i="2"/>
  <c r="AH1969" i="2"/>
  <c r="AI1969" i="2"/>
  <c r="AJ1969" i="2"/>
  <c r="AF1970" i="2"/>
  <c r="AK1970" i="2"/>
  <c r="AG1970" i="2"/>
  <c r="AH1970" i="2"/>
  <c r="AL1970" i="2" s="1"/>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s="1"/>
  <c r="AG2032" i="2"/>
  <c r="AL2032" i="2" s="1"/>
  <c r="AH2032" i="2"/>
  <c r="AI2032" i="2"/>
  <c r="AJ2032" i="2"/>
  <c r="AF2033" i="2"/>
  <c r="AK2033" i="2"/>
  <c r="AG2033" i="2"/>
  <c r="AH2033" i="2"/>
  <c r="AI2033" i="2"/>
  <c r="AL2033" i="2" s="1"/>
  <c r="AJ2033" i="2"/>
  <c r="AF2034" i="2"/>
  <c r="AK2034" i="2"/>
  <c r="AG2034" i="2"/>
  <c r="AH2034" i="2"/>
  <c r="AI2034" i="2"/>
  <c r="AJ2034" i="2"/>
  <c r="AF2035" i="2"/>
  <c r="AK2035" i="2" s="1"/>
  <c r="AL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s="1"/>
  <c r="AL2052" i="2" s="1"/>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L2106" i="2" s="1"/>
  <c r="AH2106" i="2"/>
  <c r="AI2106" i="2"/>
  <c r="AJ2106" i="2"/>
  <c r="AF2107" i="2"/>
  <c r="AK2107" i="2"/>
  <c r="AG2107" i="2"/>
  <c r="AH2107" i="2"/>
  <c r="AI2107" i="2"/>
  <c r="AL2107" i="2" s="1"/>
  <c r="AJ2107" i="2"/>
  <c r="AF2108" i="2"/>
  <c r="AK2108" i="2" s="1"/>
  <c r="AG2108" i="2"/>
  <c r="AH2108" i="2"/>
  <c r="AI2108" i="2"/>
  <c r="AJ2108" i="2"/>
  <c r="AF2109" i="2"/>
  <c r="AK2109" i="2"/>
  <c r="AL2109" i="2" s="1"/>
  <c r="AG2109" i="2"/>
  <c r="AH2109" i="2"/>
  <c r="AI2109" i="2"/>
  <c r="AJ2109" i="2"/>
  <c r="AF2110" i="2"/>
  <c r="AK2110" i="2"/>
  <c r="AG2110" i="2"/>
  <c r="AH2110" i="2"/>
  <c r="AL2110" i="2" s="1"/>
  <c r="AI2110" i="2"/>
  <c r="AJ2110" i="2"/>
  <c r="AF2111" i="2"/>
  <c r="AK2111" i="2"/>
  <c r="AG2111" i="2"/>
  <c r="AH2111" i="2"/>
  <c r="AI2111" i="2"/>
  <c r="AJ2111" i="2"/>
  <c r="AL2111" i="2" s="1"/>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L2149" i="2" s="1"/>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L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L2191" i="2" s="1"/>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s="1"/>
  <c r="AG2207" i="2"/>
  <c r="AH2207" i="2"/>
  <c r="AL2207" i="2" s="1"/>
  <c r="AI2207" i="2"/>
  <c r="AJ2207" i="2"/>
  <c r="AF2208" i="2"/>
  <c r="AK2208" i="2" s="1"/>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L2243" i="2" s="1"/>
  <c r="AG2243" i="2"/>
  <c r="AH2243" i="2"/>
  <c r="AI2243" i="2"/>
  <c r="AJ2243" i="2"/>
  <c r="AF2244" i="2"/>
  <c r="AK2244" i="2" s="1"/>
  <c r="AG2244" i="2"/>
  <c r="AH2244" i="2"/>
  <c r="AI2244" i="2"/>
  <c r="AL2244" i="2" s="1"/>
  <c r="AJ2244" i="2"/>
  <c r="AF2245" i="2"/>
  <c r="AK2245" i="2" s="1"/>
  <c r="AG2245" i="2"/>
  <c r="AH2245" i="2"/>
  <c r="AI2245" i="2"/>
  <c r="AJ2245" i="2"/>
  <c r="AF2246" i="2"/>
  <c r="AK2246" i="2"/>
  <c r="AL2246" i="2" s="1"/>
  <c r="AG2246" i="2"/>
  <c r="AH2246" i="2"/>
  <c r="AI2246" i="2"/>
  <c r="AJ2246" i="2"/>
  <c r="AF2247" i="2"/>
  <c r="AK2247" i="2"/>
  <c r="AG2247" i="2"/>
  <c r="AH2247" i="2"/>
  <c r="AL2247" i="2" s="1"/>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L2255" i="2" s="1"/>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L2264" i="2"/>
  <c r="AG2264" i="2"/>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L2282" i="2" s="1"/>
  <c r="AJ2282" i="2"/>
  <c r="AF2283" i="2"/>
  <c r="AK2283" i="2"/>
  <c r="AG2283" i="2"/>
  <c r="AH2283" i="2"/>
  <c r="AI2283" i="2"/>
  <c r="AJ2283" i="2"/>
  <c r="AF2284" i="2"/>
  <c r="AK2284" i="2" s="1"/>
  <c r="AG2284" i="2"/>
  <c r="AH2284" i="2"/>
  <c r="AI2284" i="2"/>
  <c r="AJ2284" i="2"/>
  <c r="AF2285" i="2"/>
  <c r="AK2285" i="2" s="1"/>
  <c r="AL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L2300" i="2" s="1"/>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L2331" i="2" s="1"/>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L2342" i="2" s="1"/>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s="1"/>
  <c r="AL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L2398" i="2" s="1"/>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L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L2446" i="2" s="1"/>
  <c r="AJ2446" i="2"/>
  <c r="AF2447" i="2"/>
  <c r="AK2447" i="2" s="1"/>
  <c r="AG2447" i="2"/>
  <c r="AH2447" i="2"/>
  <c r="AI2447" i="2"/>
  <c r="AJ2447" i="2"/>
  <c r="AF2448" i="2"/>
  <c r="AK2448" i="2" s="1"/>
  <c r="AL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L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H2605" i="2"/>
  <c r="AL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s="1"/>
  <c r="AG2641" i="2"/>
  <c r="AL2641" i="2" s="1"/>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s="1"/>
  <c r="AG2690" i="2"/>
  <c r="AH2690" i="2"/>
  <c r="AI2690" i="2"/>
  <c r="AL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G2751" i="2"/>
  <c r="AH2751" i="2"/>
  <c r="AL2751" i="2" s="1"/>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L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L3096" i="2" s="1"/>
  <c r="AG3096" i="2"/>
  <c r="AH3096" i="2"/>
  <c r="AI3096" i="2"/>
  <c r="AJ3096" i="2"/>
  <c r="AF3097" i="2"/>
  <c r="AK3097" i="2" s="1"/>
  <c r="AG3097" i="2"/>
  <c r="AH3097" i="2"/>
  <c r="AI3097" i="2"/>
  <c r="AL3097" i="2" s="1"/>
  <c r="AJ3097" i="2"/>
  <c r="AF3098" i="2"/>
  <c r="AK3098" i="2"/>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L3126" i="2" s="1"/>
  <c r="AH3126" i="2"/>
  <c r="AI3126" i="2"/>
  <c r="AJ3126" i="2"/>
  <c r="AF3127" i="2"/>
  <c r="AK3127" i="2"/>
  <c r="AG3127" i="2"/>
  <c r="AH3127" i="2"/>
  <c r="AI3127" i="2"/>
  <c r="AL3127" i="2" s="1"/>
  <c r="AJ3127" i="2"/>
  <c r="AF3128" i="2"/>
  <c r="AK3128" i="2" s="1"/>
  <c r="AG3128" i="2"/>
  <c r="AH3128" i="2"/>
  <c r="AI3128" i="2"/>
  <c r="AJ3128" i="2"/>
  <c r="AF3129" i="2"/>
  <c r="AK3129" i="2" s="1"/>
  <c r="AG3129" i="2"/>
  <c r="AL3129" i="2" s="1"/>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L3138" i="2"/>
  <c r="AG3138" i="2"/>
  <c r="AH3138" i="2"/>
  <c r="AI3138" i="2"/>
  <c r="AJ3138" i="2"/>
  <c r="AF3139" i="2"/>
  <c r="AK3139" i="2"/>
  <c r="AG3139" i="2"/>
  <c r="AH3139" i="2"/>
  <c r="AL3139" i="2" s="1"/>
  <c r="AI3139" i="2"/>
  <c r="AJ3139" i="2"/>
  <c r="AF3140" i="2"/>
  <c r="AK3140" i="2"/>
  <c r="AG3140" i="2"/>
  <c r="AH3140" i="2"/>
  <c r="AI3140" i="2"/>
  <c r="AJ3140" i="2"/>
  <c r="AL3140" i="2" s="1"/>
  <c r="AF3141" i="2"/>
  <c r="AK3141" i="2" s="1"/>
  <c r="AG3141" i="2"/>
  <c r="AH3141" i="2"/>
  <c r="AI3141" i="2"/>
  <c r="AJ3141" i="2"/>
  <c r="AF3142" i="2"/>
  <c r="AK3142" i="2"/>
  <c r="AG3142" i="2"/>
  <c r="AL3142" i="2" s="1"/>
  <c r="AH3142" i="2"/>
  <c r="AI3142" i="2"/>
  <c r="AJ3142" i="2"/>
  <c r="AF3143" i="2"/>
  <c r="AK3143" i="2"/>
  <c r="AG3143" i="2"/>
  <c r="AH3143" i="2"/>
  <c r="AI3143" i="2"/>
  <c r="AL3143" i="2" s="1"/>
  <c r="AJ3143" i="2"/>
  <c r="AF3144" i="2"/>
  <c r="AK3144" i="2"/>
  <c r="AG3144" i="2"/>
  <c r="AH3144" i="2"/>
  <c r="AI3144" i="2"/>
  <c r="AJ3144" i="2"/>
  <c r="AF3145" i="2"/>
  <c r="AK3145" i="2" s="1"/>
  <c r="AL3145" i="2" s="1"/>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L3175" i="2" s="1"/>
  <c r="AH3175" i="2"/>
  <c r="AI3175" i="2"/>
  <c r="AJ3175" i="2"/>
  <c r="AF3176" i="2"/>
  <c r="AK3176" i="2"/>
  <c r="AG3176" i="2"/>
  <c r="AH3176" i="2"/>
  <c r="AI3176" i="2"/>
  <c r="AL3176" i="2" s="1"/>
  <c r="AJ3176" i="2"/>
  <c r="AF3177" i="2"/>
  <c r="AK3177" i="2" s="1"/>
  <c r="AG3177" i="2"/>
  <c r="AH3177" i="2"/>
  <c r="AI3177" i="2"/>
  <c r="AJ3177" i="2"/>
  <c r="AF3178" i="2"/>
  <c r="AK3178" i="2"/>
  <c r="AL3178" i="2" s="1"/>
  <c r="AG3178" i="2"/>
  <c r="AH3178" i="2"/>
  <c r="AI3178" i="2"/>
  <c r="AJ3178" i="2"/>
  <c r="AF3179" i="2"/>
  <c r="AK3179" i="2" s="1"/>
  <c r="AG3179" i="2"/>
  <c r="AH3179" i="2"/>
  <c r="AI3179" i="2"/>
  <c r="AL3179" i="2" s="1"/>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L3187" i="2" s="1"/>
  <c r="AG3187" i="2"/>
  <c r="AH3187" i="2"/>
  <c r="AI3187" i="2"/>
  <c r="AJ3187" i="2"/>
  <c r="AF3188" i="2"/>
  <c r="AK3188" i="2"/>
  <c r="AG3188" i="2"/>
  <c r="AH3188" i="2"/>
  <c r="AI3188" i="2"/>
  <c r="AJ3188" i="2"/>
  <c r="AF3189" i="2"/>
  <c r="AK3189" i="2" s="1"/>
  <c r="AG3189" i="2"/>
  <c r="AH3189" i="2"/>
  <c r="AI3189" i="2"/>
  <c r="AJ3189" i="2"/>
  <c r="AF3190" i="2"/>
  <c r="AK3190" i="2" s="1"/>
  <c r="AL3190" i="2" s="1"/>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L3212" i="2" s="1"/>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L3234" i="2" s="1"/>
  <c r="AF3235" i="2"/>
  <c r="AK3235" i="2" s="1"/>
  <c r="AG3235" i="2"/>
  <c r="AH3235" i="2"/>
  <c r="AI3235" i="2"/>
  <c r="AJ3235" i="2"/>
  <c r="AF3236" i="2"/>
  <c r="AK3236" i="2"/>
  <c r="AG3236" i="2"/>
  <c r="AL3236" i="2" s="1"/>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c r="AG3254" i="2"/>
  <c r="AH3254" i="2"/>
  <c r="AI3254" i="2"/>
  <c r="AJ3254" i="2"/>
  <c r="AL3254" i="2" s="1"/>
  <c r="AF3255" i="2"/>
  <c r="AK3255" i="2"/>
  <c r="AG3255" i="2"/>
  <c r="AH3255" i="2"/>
  <c r="AI3255" i="2"/>
  <c r="AJ3255" i="2"/>
  <c r="AL3255" i="2" s="1"/>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L3284" i="2"/>
  <c r="AG3284" i="2"/>
  <c r="AH3284" i="2"/>
  <c r="AI3284" i="2"/>
  <c r="AJ3284" i="2"/>
  <c r="AF3285" i="2"/>
  <c r="AK3285" i="2" s="1"/>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L3305" i="2" s="1"/>
  <c r="AH3305" i="2"/>
  <c r="AI3305" i="2"/>
  <c r="AJ3305" i="2"/>
  <c r="AF3306" i="2"/>
  <c r="AK3306" i="2"/>
  <c r="AG3306" i="2"/>
  <c r="AH3306" i="2"/>
  <c r="AI3306" i="2"/>
  <c r="AJ3306" i="2"/>
  <c r="AF3307" i="2"/>
  <c r="AK3307" i="2" s="1"/>
  <c r="AG3307" i="2"/>
  <c r="AH3307" i="2"/>
  <c r="AI3307" i="2"/>
  <c r="AJ3307" i="2"/>
  <c r="AF3308" i="2"/>
  <c r="AK3308" i="2" s="1"/>
  <c r="AG3308" i="2"/>
  <c r="AH3308" i="2"/>
  <c r="AI3308" i="2"/>
  <c r="AJ3308" i="2"/>
  <c r="AF3309" i="2"/>
  <c r="AK3309" i="2" s="1"/>
  <c r="AG3309" i="2"/>
  <c r="AH3309" i="2"/>
  <c r="AI3309" i="2"/>
  <c r="AL3309" i="2" s="1"/>
  <c r="AJ3309" i="2"/>
  <c r="AF3310" i="2"/>
  <c r="AK3310" i="2"/>
  <c r="AG3310" i="2"/>
  <c r="AH3310" i="2"/>
  <c r="AI3310" i="2"/>
  <c r="AJ3310" i="2"/>
  <c r="AL3310" i="2" s="1"/>
  <c r="AF3311" i="2"/>
  <c r="AK3311" i="2" s="1"/>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L3320" i="2" s="1"/>
  <c r="AI3320" i="2"/>
  <c r="AJ3320" i="2"/>
  <c r="AF3321" i="2"/>
  <c r="AK3321" i="2"/>
  <c r="AG3321" i="2"/>
  <c r="AH3321" i="2"/>
  <c r="AI3321" i="2"/>
  <c r="AJ3321" i="2"/>
  <c r="AF3322" i="2"/>
  <c r="AK3322" i="2" s="1"/>
  <c r="AG3322" i="2"/>
  <c r="AH3322" i="2"/>
  <c r="AI3322" i="2"/>
  <c r="AJ3322" i="2"/>
  <c r="AF3323" i="2"/>
  <c r="AK3323" i="2" s="1"/>
  <c r="AG3323" i="2"/>
  <c r="AH3323" i="2"/>
  <c r="AI3323" i="2"/>
  <c r="AJ3323" i="2"/>
  <c r="AF3324" i="2"/>
  <c r="AK3324" i="2" s="1"/>
  <c r="AG3324" i="2"/>
  <c r="AH3324" i="2"/>
  <c r="AL3324" i="2" s="1"/>
  <c r="AI3324" i="2"/>
  <c r="AJ3324" i="2"/>
  <c r="AF3325" i="2"/>
  <c r="AK3325" i="2"/>
  <c r="AG3325" i="2"/>
  <c r="AH3325" i="2"/>
  <c r="AI3325" i="2"/>
  <c r="AJ3325" i="2"/>
  <c r="AL3325" i="2" s="1"/>
  <c r="AF3326" i="2"/>
  <c r="AK3326" i="2" s="1"/>
  <c r="AG3326" i="2"/>
  <c r="AH3326" i="2"/>
  <c r="AI3326" i="2"/>
  <c r="AJ3326" i="2"/>
  <c r="AF3327" i="2"/>
  <c r="AK3327" i="2"/>
  <c r="AG3327" i="2"/>
  <c r="AL3327" i="2" s="1"/>
  <c r="AH3327" i="2"/>
  <c r="AI3327" i="2"/>
  <c r="AJ3327" i="2"/>
  <c r="AF3328" i="2"/>
  <c r="AK3328" i="2"/>
  <c r="AG3328" i="2"/>
  <c r="AH3328" i="2"/>
  <c r="AI3328" i="2"/>
  <c r="AJ3328" i="2"/>
  <c r="AF3329" i="2"/>
  <c r="AK3329" i="2" s="1"/>
  <c r="AG3329" i="2"/>
  <c r="AH3329" i="2"/>
  <c r="AI3329" i="2"/>
  <c r="AJ3329" i="2"/>
  <c r="AF3330" i="2"/>
  <c r="AK3330" i="2"/>
  <c r="AL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L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L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L3415" i="2" s="1"/>
  <c r="AF3416" i="2"/>
  <c r="AK3416" i="2" s="1"/>
  <c r="AG3416" i="2"/>
  <c r="AH3416" i="2"/>
  <c r="AI3416" i="2"/>
  <c r="AJ3416" i="2"/>
  <c r="AF3417" i="2"/>
  <c r="AK3417" i="2"/>
  <c r="AG3417" i="2"/>
  <c r="AL3417" i="2" s="1"/>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L3421" i="2" s="1"/>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L3437" i="2" s="1"/>
  <c r="AG3437" i="2"/>
  <c r="AH3437" i="2"/>
  <c r="AI3437" i="2"/>
  <c r="AJ3437" i="2"/>
  <c r="AF3438" i="2"/>
  <c r="AK3438" i="2"/>
  <c r="AG3438" i="2"/>
  <c r="AH3438" i="2"/>
  <c r="AL3438" i="2" s="1"/>
  <c r="AI3438" i="2"/>
  <c r="AJ3438" i="2"/>
  <c r="AF3439" i="2"/>
  <c r="AK3439" i="2" s="1"/>
  <c r="AG3439" i="2"/>
  <c r="AH3439" i="2"/>
  <c r="AI3439" i="2"/>
  <c r="AL3439" i="2" s="1"/>
  <c r="AJ3439" i="2"/>
  <c r="AF3440" i="2"/>
  <c r="AK3440" i="2" s="1"/>
  <c r="AL3440" i="2" s="1"/>
  <c r="AG3440" i="2"/>
  <c r="AH3440" i="2"/>
  <c r="AI3440" i="2"/>
  <c r="AJ3440" i="2"/>
  <c r="AF3441" i="2"/>
  <c r="AK3441" i="2" s="1"/>
  <c r="AG3441" i="2"/>
  <c r="AH3441" i="2"/>
  <c r="AI3441" i="2"/>
  <c r="AJ3441" i="2"/>
  <c r="AF3442" i="2"/>
  <c r="AK3442" i="2"/>
  <c r="AL3442" i="2"/>
  <c r="AG3442" i="2"/>
  <c r="AH3442" i="2"/>
  <c r="AI3442" i="2"/>
  <c r="AJ3442" i="2"/>
  <c r="AF3443" i="2"/>
  <c r="AK3443" i="2"/>
  <c r="AG3443" i="2"/>
  <c r="AH3443" i="2"/>
  <c r="AI3443" i="2"/>
  <c r="AJ3443" i="2"/>
  <c r="AF3444" i="2"/>
  <c r="AK3444" i="2"/>
  <c r="AG3444" i="2"/>
  <c r="AH3444" i="2"/>
  <c r="AI3444" i="2"/>
  <c r="AJ3444" i="2"/>
  <c r="AF3445" i="2"/>
  <c r="AK3445" i="2" s="1"/>
  <c r="AG3445" i="2"/>
  <c r="AH3445" i="2"/>
  <c r="AI3445" i="2"/>
  <c r="AJ3445" i="2"/>
  <c r="AF3446" i="2"/>
  <c r="AK3446" i="2" s="1"/>
  <c r="AL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L3470" i="2" s="1"/>
  <c r="AJ3470" i="2"/>
  <c r="AF3471" i="2"/>
  <c r="AK3471" i="2"/>
  <c r="AG3471" i="2"/>
  <c r="AH3471" i="2"/>
  <c r="AI3471" i="2"/>
  <c r="AJ3471" i="2"/>
  <c r="AF3472" i="2"/>
  <c r="AK3472" i="2" s="1"/>
  <c r="AL3472" i="2" s="1"/>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s="1"/>
  <c r="AG3480" i="2"/>
  <c r="AH3480" i="2"/>
  <c r="AL3480" i="2" s="1"/>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L3486" i="2" s="1"/>
  <c r="AH3486" i="2"/>
  <c r="AI3486" i="2"/>
  <c r="AJ3486" i="2"/>
  <c r="AF3487" i="2"/>
  <c r="AK3487" i="2"/>
  <c r="AG3487" i="2"/>
  <c r="AH3487" i="2"/>
  <c r="AI3487" i="2"/>
  <c r="AL3487" i="2" s="1"/>
  <c r="AJ3487" i="2"/>
  <c r="AF3488" i="2"/>
  <c r="AK3488" i="2"/>
  <c r="AG3488" i="2"/>
  <c r="AH3488" i="2"/>
  <c r="AI3488" i="2"/>
  <c r="AJ3488" i="2"/>
  <c r="AF3489" i="2"/>
  <c r="AK3489" i="2" s="1"/>
  <c r="AL3489" i="2" s="1"/>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L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L3513" i="2" s="1"/>
  <c r="AG3513" i="2"/>
  <c r="AH3513" i="2"/>
  <c r="AI3513" i="2"/>
  <c r="AJ3513" i="2"/>
  <c r="AF3514" i="2"/>
  <c r="AK3514" i="2"/>
  <c r="AG3514" i="2"/>
  <c r="AL3514" i="2" s="1"/>
  <c r="AH3514" i="2"/>
  <c r="AI3514" i="2"/>
  <c r="AJ3514" i="2"/>
  <c r="AF3515" i="2"/>
  <c r="AK3515" i="2"/>
  <c r="AG3515" i="2"/>
  <c r="AH3515" i="2"/>
  <c r="AI3515" i="2"/>
  <c r="AL3515" i="2" s="1"/>
  <c r="AJ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L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L3567" i="2" s="1"/>
  <c r="AG3567" i="2"/>
  <c r="AH3567" i="2"/>
  <c r="AI3567" i="2"/>
  <c r="AJ3567" i="2"/>
  <c r="AF3568" i="2"/>
  <c r="AK3568" i="2"/>
  <c r="AG3568" i="2"/>
  <c r="AH3568" i="2"/>
  <c r="AL3568" i="2" s="1"/>
  <c r="AI3568" i="2"/>
  <c r="AJ3568" i="2"/>
  <c r="AF3569" i="2"/>
  <c r="AK3569" i="2" s="1"/>
  <c r="AG3569" i="2"/>
  <c r="AH3569" i="2"/>
  <c r="AI3569" i="2"/>
  <c r="AJ3569" i="2"/>
  <c r="AF3570" i="2"/>
  <c r="AK3570" i="2" s="1"/>
  <c r="AL3570" i="2" s="1"/>
  <c r="AG3570" i="2"/>
  <c r="AH3570" i="2"/>
  <c r="AI3570" i="2"/>
  <c r="AJ3570" i="2"/>
  <c r="AF3571" i="2"/>
  <c r="AK3571" i="2"/>
  <c r="AL3571" i="2"/>
  <c r="AG3571" i="2"/>
  <c r="AH3571" i="2"/>
  <c r="AI3571" i="2"/>
  <c r="AJ3571" i="2"/>
  <c r="AF3572" i="2"/>
  <c r="AK3572" i="2"/>
  <c r="AG3572" i="2"/>
  <c r="AH3572" i="2"/>
  <c r="AL3572" i="2" s="1"/>
  <c r="AI3572" i="2"/>
  <c r="AJ3572" i="2"/>
  <c r="AF3573" i="2"/>
  <c r="AK3573" i="2"/>
  <c r="AG3573" i="2"/>
  <c r="AH3573" i="2"/>
  <c r="AI3573" i="2"/>
  <c r="AJ3573" i="2"/>
  <c r="AL3573" i="2" s="1"/>
  <c r="AF3574" i="2"/>
  <c r="AK3574" i="2" s="1"/>
  <c r="AG3574" i="2"/>
  <c r="AH3574" i="2"/>
  <c r="AI3574" i="2"/>
  <c r="AJ3574" i="2"/>
  <c r="AF3575" i="2"/>
  <c r="AK3575" i="2"/>
  <c r="AG3575" i="2"/>
  <c r="AH3575" i="2"/>
  <c r="AI3575" i="2"/>
  <c r="AJ3575" i="2"/>
  <c r="AF3576" i="2"/>
  <c r="AK3576" i="2"/>
  <c r="AG3576" i="2"/>
  <c r="AH3576" i="2"/>
  <c r="AI3576" i="2"/>
  <c r="AL3576" i="2" s="1"/>
  <c r="AJ3576" i="2"/>
  <c r="AF3577" i="2"/>
  <c r="AK3577" i="2"/>
  <c r="AG3577" i="2"/>
  <c r="AH3577" i="2"/>
  <c r="AI3577" i="2"/>
  <c r="AJ3577" i="2"/>
  <c r="AF3578" i="2"/>
  <c r="AK3578" i="2" s="1"/>
  <c r="AL3578" i="2" s="1"/>
  <c r="AG3578" i="2"/>
  <c r="AH3578" i="2"/>
  <c r="AI3578" i="2"/>
  <c r="AJ3578" i="2"/>
  <c r="AF3579" i="2"/>
  <c r="AK3579" i="2"/>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L3586" i="2" s="1"/>
  <c r="AF3587" i="2"/>
  <c r="AK3587" i="2"/>
  <c r="AG3587" i="2"/>
  <c r="AH3587" i="2"/>
  <c r="AI3587" i="2"/>
  <c r="AJ3587" i="2"/>
  <c r="AF3588" i="2"/>
  <c r="AK3588" i="2"/>
  <c r="AL3588" i="2" s="1"/>
  <c r="AG3588" i="2"/>
  <c r="AH3588" i="2"/>
  <c r="AI3588" i="2"/>
  <c r="AJ3588" i="2"/>
  <c r="AF3589" i="2"/>
  <c r="AK3589" i="2"/>
  <c r="AG3589" i="2"/>
  <c r="AH3589" i="2"/>
  <c r="AL3589" i="2" s="1"/>
  <c r="AI3589" i="2"/>
  <c r="AJ3589" i="2"/>
  <c r="AF3590" i="2"/>
  <c r="AK3590" i="2" s="1"/>
  <c r="AG3590" i="2"/>
  <c r="AH3590" i="2"/>
  <c r="AI3590" i="2"/>
  <c r="AJ3590" i="2"/>
  <c r="AF3591" i="2"/>
  <c r="AK3591" i="2" s="1"/>
  <c r="AL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J3611" i="2"/>
  <c r="AL3611" i="2" s="1"/>
  <c r="AF3612" i="2"/>
  <c r="AK3612" i="2" s="1"/>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s="1"/>
  <c r="AG3616" i="2"/>
  <c r="AL3616" i="2" s="1"/>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L3628" i="2"/>
  <c r="AJ3628" i="2"/>
  <c r="AF3629" i="2"/>
  <c r="AK3629" i="2" s="1"/>
  <c r="AG3629" i="2"/>
  <c r="AH3629" i="2"/>
  <c r="AI3629" i="2"/>
  <c r="AJ3629" i="2"/>
  <c r="AF3630" i="2"/>
  <c r="AK3630" i="2"/>
  <c r="AL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L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L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L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c r="AG3673" i="2"/>
  <c r="AH3673" i="2"/>
  <c r="AI3673" i="2"/>
  <c r="AJ3673" i="2"/>
  <c r="AL3673" i="2" s="1"/>
  <c r="AF3674" i="2"/>
  <c r="AK3674" i="2" s="1"/>
  <c r="AG3674" i="2"/>
  <c r="AH3674" i="2"/>
  <c r="AI3674" i="2"/>
  <c r="AJ3674" i="2"/>
  <c r="AF3675" i="2"/>
  <c r="AK3675" i="2"/>
  <c r="AG3675" i="2"/>
  <c r="AL3675" i="2" s="1"/>
  <c r="AH3675" i="2"/>
  <c r="AI3675" i="2"/>
  <c r="AJ3675" i="2"/>
  <c r="AF3676" i="2"/>
  <c r="AK3676" i="2"/>
  <c r="AG3676" i="2"/>
  <c r="AH3676" i="2"/>
  <c r="AL3676" i="2"/>
  <c r="AI3676" i="2"/>
  <c r="AJ3676" i="2"/>
  <c r="AF3677" i="2"/>
  <c r="AK3677" i="2"/>
  <c r="AG3677" i="2"/>
  <c r="AH3677" i="2"/>
  <c r="AI3677" i="2"/>
  <c r="AJ3677" i="2"/>
  <c r="AL3677" i="2" s="1"/>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L3683" i="2" s="1"/>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L3709" i="2" s="1"/>
  <c r="AG3709" i="2"/>
  <c r="AH3709" i="2"/>
  <c r="AI3709" i="2"/>
  <c r="AJ3709" i="2"/>
  <c r="AF3710" i="2"/>
  <c r="AK3710" i="2"/>
  <c r="AG3710" i="2"/>
  <c r="AL3710" i="2" s="1"/>
  <c r="AH3710" i="2"/>
  <c r="AI3710" i="2"/>
  <c r="AJ3710" i="2"/>
  <c r="AF3711" i="2"/>
  <c r="AK3711" i="2"/>
  <c r="AG3711" i="2"/>
  <c r="AH3711" i="2"/>
  <c r="AL3711" i="2" s="1"/>
  <c r="AI3711" i="2"/>
  <c r="AJ3711" i="2"/>
  <c r="AF3712" i="2"/>
  <c r="AK3712" i="2" s="1"/>
  <c r="AG3712" i="2"/>
  <c r="AH3712" i="2"/>
  <c r="AI3712" i="2"/>
  <c r="AJ3712" i="2"/>
  <c r="AF3713" i="2"/>
  <c r="AK3713" i="2" s="1"/>
  <c r="AL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L3721" i="2" s="1"/>
  <c r="AI3721" i="2"/>
  <c r="AJ3721" i="2"/>
  <c r="AF3722" i="2"/>
  <c r="AK3722" i="2" s="1"/>
  <c r="AG3722" i="2"/>
  <c r="AH3722" i="2"/>
  <c r="AI3722" i="2"/>
  <c r="AJ3722" i="2"/>
  <c r="AF3723" i="2"/>
  <c r="AK3723" i="2" s="1"/>
  <c r="AL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s="1"/>
  <c r="AL3746" i="2" s="1"/>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J3752" i="2"/>
  <c r="AF3753" i="2"/>
  <c r="AK3753" i="2" s="1"/>
  <c r="AG3753" i="2"/>
  <c r="AH3753" i="2"/>
  <c r="AI3753" i="2"/>
  <c r="AJ3753" i="2"/>
  <c r="AF3754" i="2"/>
  <c r="AK3754" i="2"/>
  <c r="AL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s="1"/>
  <c r="AG3759" i="2"/>
  <c r="AH3759" i="2"/>
  <c r="AI3759" i="2"/>
  <c r="AJ3759" i="2"/>
  <c r="AF3760" i="2"/>
  <c r="AK3760" i="2"/>
  <c r="AL3760" i="2" s="1"/>
  <c r="AG3760" i="2"/>
  <c r="AH3760" i="2"/>
  <c r="AI3760" i="2"/>
  <c r="AJ3760" i="2"/>
  <c r="AF3761" i="2"/>
  <c r="AK3761" i="2"/>
  <c r="AL3761" i="2"/>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L3766" i="2" s="1"/>
  <c r="AG3766" i="2"/>
  <c r="AH3766" i="2"/>
  <c r="AI3766" i="2"/>
  <c r="AJ3766" i="2"/>
  <c r="AF3767" i="2"/>
  <c r="AK3767" i="2"/>
  <c r="AG3767" i="2"/>
  <c r="AH3767" i="2"/>
  <c r="AL3767" i="2" s="1"/>
  <c r="AI3767" i="2"/>
  <c r="AJ3767" i="2"/>
  <c r="AF3768" i="2"/>
  <c r="AK3768" i="2" s="1"/>
  <c r="AG3768" i="2"/>
  <c r="AH3768" i="2"/>
  <c r="AI3768" i="2"/>
  <c r="AJ3768" i="2"/>
  <c r="AF3769" i="2"/>
  <c r="AK3769" i="2" s="1"/>
  <c r="AL3769" i="2" s="1"/>
  <c r="AG3769" i="2"/>
  <c r="AH3769" i="2"/>
  <c r="AI3769" i="2"/>
  <c r="AJ3769" i="2"/>
  <c r="AF3770" i="2"/>
  <c r="AK3770" i="2"/>
  <c r="AG3770" i="2"/>
  <c r="AL3770" i="2" s="1"/>
  <c r="AH3770" i="2"/>
  <c r="AI3770" i="2"/>
  <c r="AJ3770" i="2"/>
  <c r="AF3771" i="2"/>
  <c r="AK3771" i="2"/>
  <c r="AG3771" i="2"/>
  <c r="AH3771" i="2"/>
  <c r="AI3771" i="2"/>
  <c r="AJ3771" i="2"/>
  <c r="AF3772" i="2"/>
  <c r="AK3772" i="2"/>
  <c r="AG3772" i="2"/>
  <c r="AH3772" i="2"/>
  <c r="AI3772" i="2"/>
  <c r="AJ3772" i="2"/>
  <c r="AF3773" i="2"/>
  <c r="AK3773" i="2" s="1"/>
  <c r="AL3773" i="2" s="1"/>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L3787" i="2" s="1"/>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s="1"/>
  <c r="AL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L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L3808" i="2" s="1"/>
  <c r="AG3808" i="2"/>
  <c r="AH3808" i="2"/>
  <c r="AI3808" i="2"/>
  <c r="AJ3808" i="2"/>
  <c r="AF3809" i="2"/>
  <c r="AK3809" i="2"/>
  <c r="AG3809" i="2"/>
  <c r="AH3809" i="2"/>
  <c r="AI3809" i="2"/>
  <c r="AJ3809" i="2"/>
  <c r="AF3810" i="2"/>
  <c r="AK3810" i="2"/>
  <c r="AG3810" i="2"/>
  <c r="AL3810" i="2" s="1"/>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L3851" i="2" s="1"/>
  <c r="AG3851" i="2"/>
  <c r="AH3851" i="2"/>
  <c r="AI3851" i="2"/>
  <c r="AJ3851" i="2"/>
  <c r="AF3852" i="2"/>
  <c r="AK3852" i="2" s="1"/>
  <c r="AG3852" i="2"/>
  <c r="AH3852" i="2"/>
  <c r="AI3852" i="2"/>
  <c r="AL3852" i="2" s="1"/>
  <c r="AJ3852" i="2"/>
  <c r="AF3853" i="2"/>
  <c r="AK3853" i="2"/>
  <c r="AG3853" i="2"/>
  <c r="AH3853" i="2"/>
  <c r="AI3853" i="2"/>
  <c r="AJ3853" i="2"/>
  <c r="AF3854" i="2"/>
  <c r="AK3854" i="2" s="1"/>
  <c r="AL3854" i="2" s="1"/>
  <c r="AG3854" i="2"/>
  <c r="AH3854" i="2"/>
  <c r="AI3854" i="2"/>
  <c r="AJ3854" i="2"/>
  <c r="AF3855" i="2"/>
  <c r="AK3855" i="2"/>
  <c r="AG3855" i="2"/>
  <c r="AL3855" i="2" s="1"/>
  <c r="AH3855" i="2"/>
  <c r="AI3855" i="2"/>
  <c r="AJ3855" i="2"/>
  <c r="AF3856" i="2"/>
  <c r="AK3856" i="2" s="1"/>
  <c r="AG3856" i="2"/>
  <c r="AH3856" i="2"/>
  <c r="AI3856" i="2"/>
  <c r="AL3856" i="2"/>
  <c r="AJ3856" i="2"/>
  <c r="AF3857" i="2"/>
  <c r="AK3857" i="2"/>
  <c r="AG3857" i="2"/>
  <c r="AH3857" i="2"/>
  <c r="AI3857" i="2"/>
  <c r="AJ3857" i="2"/>
  <c r="AF3858" i="2"/>
  <c r="AK3858" i="2" s="1"/>
  <c r="AL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s="1"/>
  <c r="AL3871" i="2" s="1"/>
  <c r="AG3871" i="2"/>
  <c r="AH3871" i="2"/>
  <c r="AI3871" i="2"/>
  <c r="AJ3871" i="2"/>
  <c r="AF3872" i="2"/>
  <c r="AK3872" i="2"/>
  <c r="AG3872" i="2"/>
  <c r="AH3872" i="2"/>
  <c r="AI3872" i="2"/>
  <c r="AJ3872" i="2"/>
  <c r="AF3873" i="2"/>
  <c r="AK3873" i="2" s="1"/>
  <c r="AG3873" i="2"/>
  <c r="AH3873" i="2"/>
  <c r="AI3873" i="2"/>
  <c r="AJ3873" i="2"/>
  <c r="AF3874" i="2"/>
  <c r="AK3874" i="2" s="1"/>
  <c r="AL3874" i="2" s="1"/>
  <c r="AG3874" i="2"/>
  <c r="AH3874" i="2"/>
  <c r="AI3874" i="2"/>
  <c r="AJ3874" i="2"/>
  <c r="AF3875" i="2"/>
  <c r="AK3875" i="2" s="1"/>
  <c r="AL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L3883" i="2" s="1"/>
  <c r="AF3884" i="2"/>
  <c r="AK3884" i="2" s="1"/>
  <c r="AG3884" i="2"/>
  <c r="AH3884" i="2"/>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L3899" i="2" s="1"/>
  <c r="AH3899" i="2"/>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s="1"/>
  <c r="AG3922" i="2"/>
  <c r="AH3922" i="2"/>
  <c r="AI3922" i="2"/>
  <c r="AJ3922" i="2"/>
  <c r="AF3923" i="2"/>
  <c r="AK3923" i="2" s="1"/>
  <c r="AL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L3939" i="2" s="1"/>
  <c r="AJ3939" i="2"/>
  <c r="AF3940" i="2"/>
  <c r="AK3940" i="2" s="1"/>
  <c r="AG3940" i="2"/>
  <c r="AH3940" i="2"/>
  <c r="AI3940" i="2"/>
  <c r="AJ3940" i="2"/>
  <c r="AF3941" i="2"/>
  <c r="AK3941" i="2"/>
  <c r="AL3941" i="2" s="1"/>
  <c r="AG3941" i="2"/>
  <c r="AH3941" i="2"/>
  <c r="AI3941" i="2"/>
  <c r="AJ3941" i="2"/>
  <c r="AF3942" i="2"/>
  <c r="AK3942" i="2"/>
  <c r="AG3942" i="2"/>
  <c r="AH3942" i="2"/>
  <c r="AL3942" i="2" s="1"/>
  <c r="AI3942" i="2"/>
  <c r="AJ3942" i="2"/>
  <c r="AF3943" i="2"/>
  <c r="AK3943" i="2"/>
  <c r="AG3943" i="2"/>
  <c r="AH3943" i="2"/>
  <c r="AI3943" i="2"/>
  <c r="AJ3943" i="2"/>
  <c r="AL3943" i="2" s="1"/>
  <c r="AF3944" i="2"/>
  <c r="AK3944" i="2" s="1"/>
  <c r="AG3944" i="2"/>
  <c r="AH3944" i="2"/>
  <c r="AI3944" i="2"/>
  <c r="AJ3944" i="2"/>
  <c r="AF3945" i="2"/>
  <c r="AK3945" i="2"/>
  <c r="AG3945" i="2"/>
  <c r="AL3945" i="2" s="1"/>
  <c r="AH3945" i="2"/>
  <c r="AI3945" i="2"/>
  <c r="AJ3945" i="2"/>
  <c r="AF3946" i="2"/>
  <c r="AK3946" i="2"/>
  <c r="AG3946" i="2"/>
  <c r="AH3946" i="2"/>
  <c r="AI3946" i="2"/>
  <c r="AL3946" i="2" s="1"/>
  <c r="AJ3946" i="2"/>
  <c r="AF3947" i="2"/>
  <c r="AK3947" i="2"/>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c r="AG3970" i="2"/>
  <c r="AH3970" i="2"/>
  <c r="AI3970" i="2"/>
  <c r="AJ3970" i="2"/>
  <c r="AL3970" i="2" s="1"/>
  <c r="AF3971" i="2"/>
  <c r="AK3971" i="2" s="1"/>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G4052" i="2"/>
  <c r="AH4052" i="2"/>
  <c r="AL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L4059" i="2" s="1"/>
  <c r="AG4059" i="2"/>
  <c r="AH4059" i="2"/>
  <c r="AI4059" i="2"/>
  <c r="AJ4059" i="2"/>
  <c r="AF4060" i="2"/>
  <c r="AK4060" i="2"/>
  <c r="AG4060" i="2"/>
  <c r="AL4060" i="2" s="1"/>
  <c r="AH4060" i="2"/>
  <c r="AI4060" i="2"/>
  <c r="AJ4060" i="2"/>
  <c r="AF4061" i="2"/>
  <c r="AK4061" i="2"/>
  <c r="AG4061" i="2"/>
  <c r="AH4061" i="2"/>
  <c r="AI4061" i="2"/>
  <c r="AL4061" i="2" s="1"/>
  <c r="AJ4061" i="2"/>
  <c r="AF4062" i="2"/>
  <c r="AK4062" i="2" s="1"/>
  <c r="AG4062" i="2"/>
  <c r="AH4062" i="2"/>
  <c r="AI4062" i="2"/>
  <c r="AJ4062" i="2"/>
  <c r="AF4063" i="2"/>
  <c r="AK4063" i="2"/>
  <c r="AL4063" i="2" s="1"/>
  <c r="AG4063" i="2"/>
  <c r="AH4063" i="2"/>
  <c r="AI4063" i="2"/>
  <c r="AJ4063" i="2"/>
  <c r="AF4064" i="2"/>
  <c r="AK4064" i="2"/>
  <c r="AG4064" i="2"/>
  <c r="AH4064" i="2"/>
  <c r="AL4064" i="2" s="1"/>
  <c r="AI4064" i="2"/>
  <c r="AJ4064" i="2"/>
  <c r="AF4065" i="2"/>
  <c r="AK4065" i="2"/>
  <c r="AG4065" i="2"/>
  <c r="AH4065" i="2"/>
  <c r="AI4065" i="2"/>
  <c r="AJ4065" i="2"/>
  <c r="AL4065" i="2" s="1"/>
  <c r="AF4066" i="2"/>
  <c r="AK4066" i="2" s="1"/>
  <c r="AG4066" i="2"/>
  <c r="AH4066" i="2"/>
  <c r="AI4066" i="2"/>
  <c r="AJ4066" i="2"/>
  <c r="AF4067" i="2"/>
  <c r="AK4067" i="2"/>
  <c r="AG4067" i="2"/>
  <c r="AL4067" i="2" s="1"/>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c r="AG4072" i="2"/>
  <c r="AH4072" i="2"/>
  <c r="AI4072" i="2"/>
  <c r="AJ4072" i="2"/>
  <c r="AF4073" i="2"/>
  <c r="AK4073" i="2" s="1"/>
  <c r="AL4073" i="2" s="1"/>
  <c r="AG4073" i="2"/>
  <c r="AH4073" i="2"/>
  <c r="AI4073" i="2"/>
  <c r="AJ4073" i="2"/>
  <c r="AF4074" i="2"/>
  <c r="AK4074" i="2" s="1"/>
  <c r="AG4074" i="2"/>
  <c r="AH4074" i="2"/>
  <c r="AI4074" i="2"/>
  <c r="AJ4074" i="2"/>
  <c r="AF4075" i="2"/>
  <c r="AK4075" i="2" s="1"/>
  <c r="AG4075" i="2"/>
  <c r="AH4075" i="2"/>
  <c r="AI4075" i="2"/>
  <c r="AJ4075" i="2"/>
  <c r="AL4075" i="2" s="1"/>
  <c r="AF4076" i="2"/>
  <c r="AK4076" i="2" s="1"/>
  <c r="AG4076" i="2"/>
  <c r="AL4076" i="2" s="1"/>
  <c r="AH4076" i="2"/>
  <c r="AI4076" i="2"/>
  <c r="AJ4076" i="2"/>
  <c r="AF4077" i="2"/>
  <c r="AK4077" i="2"/>
  <c r="AG4077" i="2"/>
  <c r="AH4077" i="2"/>
  <c r="AI4077" i="2"/>
  <c r="AL4077" i="2" s="1"/>
  <c r="AJ4077" i="2"/>
  <c r="AF4078" i="2"/>
  <c r="AK4078" i="2"/>
  <c r="AG4078" i="2"/>
  <c r="AH4078" i="2"/>
  <c r="AI4078" i="2"/>
  <c r="AJ4078" i="2"/>
  <c r="AF4079" i="2"/>
  <c r="AK4079" i="2" s="1"/>
  <c r="AL4079" i="2" s="1"/>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L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c r="AG4130" i="2"/>
  <c r="AH4130" i="2"/>
  <c r="AI4130" i="2"/>
  <c r="AJ4130" i="2"/>
  <c r="AF4131" i="2"/>
  <c r="AK4131" i="2" s="1"/>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c r="AG4143" i="2"/>
  <c r="AL4143" i="2" s="1"/>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c r="AG4148" i="2"/>
  <c r="AH4148" i="2"/>
  <c r="AI4148" i="2"/>
  <c r="AL4148" i="2" s="1"/>
  <c r="AJ4148" i="2"/>
  <c r="AF4149" i="2"/>
  <c r="AK4149" i="2"/>
  <c r="AG4149" i="2"/>
  <c r="AH4149" i="2"/>
  <c r="AI4149" i="2"/>
  <c r="AJ4149" i="2"/>
  <c r="AF4150" i="2"/>
  <c r="AK4150" i="2" s="1"/>
  <c r="AL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L4160" i="2" s="1"/>
  <c r="AH4160" i="2"/>
  <c r="AI4160" i="2"/>
  <c r="AJ4160" i="2"/>
  <c r="AF4161" i="2"/>
  <c r="AK4161" i="2" s="1"/>
  <c r="AG4161" i="2"/>
  <c r="AH4161" i="2"/>
  <c r="AI4161" i="2"/>
  <c r="AJ4161" i="2"/>
  <c r="AL4161" i="2" s="1"/>
  <c r="AF4162" i="2"/>
  <c r="AK4162" i="2" s="1"/>
  <c r="AG4162" i="2"/>
  <c r="AH4162" i="2"/>
  <c r="AI4162" i="2"/>
  <c r="AJ4162" i="2"/>
  <c r="AL4162" i="2" s="1"/>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L4198" i="2" s="1"/>
  <c r="AF4199" i="2"/>
  <c r="AK4199" i="2" s="1"/>
  <c r="AG4199" i="2"/>
  <c r="AH4199" i="2"/>
  <c r="AI4199" i="2"/>
  <c r="AJ4199" i="2"/>
  <c r="AF4200" i="2"/>
  <c r="AK4200" i="2"/>
  <c r="AG4200" i="2"/>
  <c r="AL4200" i="2" s="1"/>
  <c r="AH4200" i="2"/>
  <c r="AI4200" i="2"/>
  <c r="AJ4200" i="2"/>
  <c r="AF4201" i="2"/>
  <c r="AK4201" i="2"/>
  <c r="AG4201" i="2"/>
  <c r="AH4201" i="2"/>
  <c r="AI4201" i="2"/>
  <c r="AL4201" i="2" s="1"/>
  <c r="AJ4201" i="2"/>
  <c r="AF4202" i="2"/>
  <c r="AK4202" i="2"/>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L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L4227" i="2" s="1"/>
  <c r="AH4227" i="2"/>
  <c r="AI4227" i="2"/>
  <c r="AJ4227" i="2"/>
  <c r="AF4228" i="2"/>
  <c r="AK4228" i="2"/>
  <c r="AG4228" i="2"/>
  <c r="AH4228" i="2"/>
  <c r="AI4228" i="2"/>
  <c r="AJ4228" i="2"/>
  <c r="AF4229" i="2"/>
  <c r="AK4229" i="2" s="1"/>
  <c r="AG4229" i="2"/>
  <c r="AH4229" i="2"/>
  <c r="AI4229" i="2"/>
  <c r="AJ4229" i="2"/>
  <c r="AF4230" i="2"/>
  <c r="AK4230" i="2"/>
  <c r="AL4230" i="2" s="1"/>
  <c r="AG4230" i="2"/>
  <c r="AH4230" i="2"/>
  <c r="AI4230" i="2"/>
  <c r="AJ4230" i="2"/>
  <c r="AF4231" i="2"/>
  <c r="AK4231" i="2"/>
  <c r="AG4231" i="2"/>
  <c r="AH4231" i="2"/>
  <c r="AL4231" i="2" s="1"/>
  <c r="AI4231" i="2"/>
  <c r="AJ4231" i="2"/>
  <c r="AF4232" i="2"/>
  <c r="AK4232" i="2" s="1"/>
  <c r="AG4232" i="2"/>
  <c r="AH4232" i="2"/>
  <c r="AI4232" i="2"/>
  <c r="AJ4232" i="2"/>
  <c r="AF4233" i="2"/>
  <c r="AK4233" i="2" s="1"/>
  <c r="AL4233" i="2" s="1"/>
  <c r="AG4233" i="2"/>
  <c r="AH4233" i="2"/>
  <c r="AI4233" i="2"/>
  <c r="AJ4233" i="2"/>
  <c r="AF4234" i="2"/>
  <c r="AK4234" i="2" s="1"/>
  <c r="AL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L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c r="AG4258" i="2"/>
  <c r="AH4258" i="2"/>
  <c r="AL4258" i="2" s="1"/>
  <c r="AI4258" i="2"/>
  <c r="AJ4258" i="2"/>
  <c r="AF4259" i="2"/>
  <c r="AK4259" i="2" s="1"/>
  <c r="AG4259" i="2"/>
  <c r="AH4259" i="2"/>
  <c r="AL4259" i="2" s="1"/>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c r="AL4267" i="2" s="1"/>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s="1"/>
  <c r="AG4271" i="2"/>
  <c r="AH4271" i="2"/>
  <c r="AI4271" i="2"/>
  <c r="AJ4271" i="2"/>
  <c r="AL4271" i="2" s="1"/>
  <c r="AF4272" i="2"/>
  <c r="AK4272" i="2"/>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L4277" i="2" s="1"/>
  <c r="AG4277" i="2"/>
  <c r="AH4277" i="2"/>
  <c r="AI4277" i="2"/>
  <c r="AJ4277" i="2"/>
  <c r="AF4278" i="2"/>
  <c r="AK4278" i="2"/>
  <c r="AG4278" i="2"/>
  <c r="AH4278" i="2"/>
  <c r="AI4278" i="2"/>
  <c r="AJ4278" i="2"/>
  <c r="AF4279" i="2"/>
  <c r="AK4279" i="2"/>
  <c r="AG4279" i="2"/>
  <c r="AH4279" i="2"/>
  <c r="AI4279" i="2"/>
  <c r="AL4279" i="2" s="1"/>
  <c r="AJ4279" i="2"/>
  <c r="AF4280" i="2"/>
  <c r="AK4280" i="2" s="1"/>
  <c r="AG4280" i="2"/>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L4288" i="2" s="1"/>
  <c r="AF4289" i="2"/>
  <c r="AK4289" i="2"/>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L4305" i="2" s="1"/>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L4333" i="2" s="1"/>
  <c r="AI4333" i="2"/>
  <c r="AJ4333" i="2"/>
  <c r="AF4334" i="2"/>
  <c r="AK4334" i="2" s="1"/>
  <c r="AG4334" i="2"/>
  <c r="AH4334" i="2"/>
  <c r="AI4334" i="2"/>
  <c r="AJ4334" i="2"/>
  <c r="AF4335" i="2"/>
  <c r="AK4335" i="2" s="1"/>
  <c r="AL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L4345" i="2" s="1"/>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L4361" i="2" s="1"/>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c r="AG4371" i="2"/>
  <c r="AH4371" i="2"/>
  <c r="AI4371" i="2"/>
  <c r="AJ4371" i="2"/>
  <c r="AF4372" i="2"/>
  <c r="AK4372" i="2"/>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L4381" i="2" s="1"/>
  <c r="AG4381" i="2"/>
  <c r="AH4381" i="2"/>
  <c r="AI4381" i="2"/>
  <c r="AJ4381" i="2"/>
  <c r="AF4382" i="2"/>
  <c r="AK4382" i="2"/>
  <c r="AG4382" i="2"/>
  <c r="AH4382" i="2"/>
  <c r="AL4382" i="2" s="1"/>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L4386" i="2" s="1"/>
  <c r="AI4386" i="2"/>
  <c r="AJ4386" i="2"/>
  <c r="AF4387" i="2"/>
  <c r="AK4387" i="2" s="1"/>
  <c r="AG4387" i="2"/>
  <c r="AH4387" i="2"/>
  <c r="AI4387" i="2"/>
  <c r="AJ4387" i="2"/>
  <c r="AF4388" i="2"/>
  <c r="AK4388" i="2"/>
  <c r="AG4388" i="2"/>
  <c r="AH4388" i="2"/>
  <c r="AI4388" i="2"/>
  <c r="AJ4388" i="2"/>
  <c r="AF4389" i="2"/>
  <c r="AK4389" i="2" s="1"/>
  <c r="AG4389" i="2"/>
  <c r="AH4389" i="2"/>
  <c r="AL4389" i="2" s="1"/>
  <c r="AI4389" i="2"/>
  <c r="AJ4389" i="2"/>
  <c r="AF4390" i="2"/>
  <c r="AK4390" i="2"/>
  <c r="AG4390" i="2"/>
  <c r="AL4390" i="2" s="1"/>
  <c r="AH4390" i="2"/>
  <c r="AI4390" i="2"/>
  <c r="AJ4390" i="2"/>
  <c r="AF4391" i="2"/>
  <c r="AK4391" i="2"/>
  <c r="AL4391" i="2" s="1"/>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c r="AG4420" i="2"/>
  <c r="AL4420" i="2" s="1"/>
  <c r="AH4420" i="2"/>
  <c r="AI4420" i="2"/>
  <c r="AJ4420" i="2"/>
  <c r="AF4421" i="2"/>
  <c r="AK4421" i="2"/>
  <c r="AG4421" i="2"/>
  <c r="AL4421" i="2" s="1"/>
  <c r="AH4421" i="2"/>
  <c r="AI4421" i="2"/>
  <c r="AJ4421" i="2"/>
  <c r="AF4422" i="2"/>
  <c r="AK4422" i="2" s="1"/>
  <c r="AG4422" i="2"/>
  <c r="AL4422" i="2" s="1"/>
  <c r="AH4422" i="2"/>
  <c r="AI4422" i="2"/>
  <c r="AJ4422" i="2"/>
  <c r="AF4423" i="2"/>
  <c r="AK4423" i="2"/>
  <c r="AG4423" i="2"/>
  <c r="AL4423" i="2"/>
  <c r="AH4423" i="2"/>
  <c r="AI4423" i="2"/>
  <c r="AJ4423" i="2"/>
  <c r="AF4424" i="2"/>
  <c r="AK4424" i="2"/>
  <c r="AG4424" i="2"/>
  <c r="AL4424" i="2" s="1"/>
  <c r="AH4424" i="2"/>
  <c r="AI4424" i="2"/>
  <c r="AJ4424" i="2"/>
  <c r="AF4425" i="2"/>
  <c r="AK4425" i="2" s="1"/>
  <c r="AG4425" i="2"/>
  <c r="AH4425" i="2"/>
  <c r="AI4425" i="2"/>
  <c r="AJ4425" i="2"/>
  <c r="AL4425" i="2" s="1"/>
  <c r="AF4426" i="2"/>
  <c r="AK4426" i="2"/>
  <c r="AG4426" i="2"/>
  <c r="AH4426" i="2"/>
  <c r="AI4426" i="2"/>
  <c r="AJ4426" i="2"/>
  <c r="AF4427" i="2"/>
  <c r="AK4427" i="2"/>
  <c r="AL4427" i="2" s="1"/>
  <c r="AG4427" i="2"/>
  <c r="AH4427" i="2"/>
  <c r="AI4427" i="2"/>
  <c r="AJ4427" i="2"/>
  <c r="AF4428" i="2"/>
  <c r="AK4428" i="2" s="1"/>
  <c r="AG4428" i="2"/>
  <c r="AH4428" i="2"/>
  <c r="AI4428" i="2"/>
  <c r="AL4428" i="2" s="1"/>
  <c r="AJ4428" i="2"/>
  <c r="AF4429" i="2"/>
  <c r="AK4429" i="2"/>
  <c r="AG4429" i="2"/>
  <c r="AH4429" i="2"/>
  <c r="AI4429" i="2"/>
  <c r="AJ4429" i="2"/>
  <c r="AF4430" i="2"/>
  <c r="AK4430" i="2" s="1"/>
  <c r="AG4430" i="2"/>
  <c r="AH4430" i="2"/>
  <c r="AI4430" i="2"/>
  <c r="AJ4430" i="2"/>
  <c r="AF4431" i="2"/>
  <c r="AK4431" i="2" s="1"/>
  <c r="AL4431" i="2" s="1"/>
  <c r="AG4431" i="2"/>
  <c r="AH4431" i="2"/>
  <c r="AI4431" i="2"/>
  <c r="AJ4431" i="2"/>
  <c r="AF4432" i="2"/>
  <c r="AK4432" i="2"/>
  <c r="AL4432" i="2"/>
  <c r="AG4432" i="2"/>
  <c r="AH4432" i="2"/>
  <c r="AI4432" i="2"/>
  <c r="AJ4432" i="2"/>
  <c r="AF4433" i="2"/>
  <c r="AK4433" i="2" s="1"/>
  <c r="AG4433" i="2"/>
  <c r="AH4433" i="2"/>
  <c r="AI4433" i="2"/>
  <c r="AJ4433" i="2"/>
  <c r="AF4434" i="2"/>
  <c r="AK4434" i="2"/>
  <c r="AL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L4438" i="2" s="1"/>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L4443" i="2" s="1"/>
  <c r="AG4443" i="2"/>
  <c r="AH4443" i="2"/>
  <c r="AI4443" i="2"/>
  <c r="AJ4443" i="2"/>
  <c r="AF4444" i="2"/>
  <c r="AK4444" i="2" s="1"/>
  <c r="AG4444" i="2"/>
  <c r="AH4444" i="2"/>
  <c r="AI4444" i="2"/>
  <c r="AJ4444" i="2"/>
  <c r="AL4444" i="2" s="1"/>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c r="AG4448" i="2"/>
  <c r="AH4448" i="2"/>
  <c r="AI4448" i="2"/>
  <c r="AL4448" i="2" s="1"/>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L4452" i="2" s="1"/>
  <c r="AG4452" i="2"/>
  <c r="AH4452" i="2"/>
  <c r="AI4452" i="2"/>
  <c r="AJ4452" i="2"/>
  <c r="AF4453" i="2"/>
  <c r="AK4453" i="2"/>
  <c r="AG4453" i="2"/>
  <c r="AH4453" i="2"/>
  <c r="AL4453" i="2" s="1"/>
  <c r="AI4453" i="2"/>
  <c r="AJ4453" i="2"/>
  <c r="AF4454" i="2"/>
  <c r="AK4454" i="2" s="1"/>
  <c r="AG4454" i="2"/>
  <c r="AH4454" i="2"/>
  <c r="AI4454" i="2"/>
  <c r="AJ4454" i="2"/>
  <c r="AF4455" i="2"/>
  <c r="AK4455" i="2" s="1"/>
  <c r="AL4455" i="2" s="1"/>
  <c r="AG4455" i="2"/>
  <c r="AH4455" i="2"/>
  <c r="AI4455" i="2"/>
  <c r="AJ4455" i="2"/>
  <c r="AF4456" i="2"/>
  <c r="AK4456" i="2" s="1"/>
  <c r="AG4456" i="2"/>
  <c r="AH4456" i="2"/>
  <c r="AL4456" i="2" s="1"/>
  <c r="AI4456" i="2"/>
  <c r="AJ4456" i="2"/>
  <c r="AF4457" i="2"/>
  <c r="AK4457" i="2"/>
  <c r="AG4457" i="2"/>
  <c r="AH4457" i="2"/>
  <c r="AI4457" i="2"/>
  <c r="AJ4457" i="2"/>
  <c r="AF4458" i="2"/>
  <c r="AK4458" i="2"/>
  <c r="AG4458" i="2"/>
  <c r="AH4458" i="2"/>
  <c r="AI4458" i="2"/>
  <c r="AJ4458" i="2"/>
  <c r="AF4459" i="2"/>
  <c r="AK4459" i="2" s="1"/>
  <c r="AG4459" i="2"/>
  <c r="AL4459" i="2" s="1"/>
  <c r="AH4459" i="2"/>
  <c r="AI4459" i="2"/>
  <c r="AJ4459" i="2"/>
  <c r="AF4460" i="2"/>
  <c r="AK4460" i="2"/>
  <c r="AG4460" i="2"/>
  <c r="AH4460" i="2"/>
  <c r="AL4460" i="2"/>
  <c r="AI4460" i="2"/>
  <c r="AJ4460" i="2"/>
  <c r="AF4461" i="2"/>
  <c r="AK4461" i="2" s="1"/>
  <c r="AG4461" i="2"/>
  <c r="AH4461" i="2"/>
  <c r="AI4461" i="2"/>
  <c r="AJ4461" i="2"/>
  <c r="AF4462" i="2"/>
  <c r="AK4462" i="2"/>
  <c r="AG4462" i="2"/>
  <c r="AH4462" i="2"/>
  <c r="AI4462" i="2"/>
  <c r="AJ4462" i="2"/>
  <c r="AF4463" i="2"/>
  <c r="AK4463" i="2"/>
  <c r="AG4463" i="2"/>
  <c r="AL4463" i="2" s="1"/>
  <c r="AH4463" i="2"/>
  <c r="AI4463" i="2"/>
  <c r="AJ4463" i="2"/>
  <c r="AF4464" i="2"/>
  <c r="AK4464" i="2"/>
  <c r="AG4464" i="2"/>
  <c r="AL4464" i="2" s="1"/>
  <c r="AH4464" i="2"/>
  <c r="AI4464" i="2"/>
  <c r="AJ4464" i="2"/>
  <c r="AF4465" i="2"/>
  <c r="AK4465" i="2" s="1"/>
  <c r="AG4465" i="2"/>
  <c r="AH4465" i="2"/>
  <c r="AI4465" i="2"/>
  <c r="AJ4465" i="2"/>
  <c r="AF4466" i="2"/>
  <c r="AK4466" i="2" s="1"/>
  <c r="AG4466" i="2"/>
  <c r="AL4466" i="2" s="1"/>
  <c r="AH4466" i="2"/>
  <c r="AI4466" i="2"/>
  <c r="AJ4466" i="2"/>
  <c r="AF4467" i="2"/>
  <c r="AK4467" i="2"/>
  <c r="AG4467" i="2"/>
  <c r="AH4467" i="2"/>
  <c r="AI4467" i="2"/>
  <c r="AJ4467" i="2"/>
  <c r="AF4468" i="2"/>
  <c r="AK4468" i="2" s="1"/>
  <c r="AG4468" i="2"/>
  <c r="AH4468" i="2"/>
  <c r="AI4468" i="2"/>
  <c r="AJ4468" i="2"/>
  <c r="AF4469" i="2"/>
  <c r="AK4469" i="2"/>
  <c r="AL4469" i="2" s="1"/>
  <c r="AG4469" i="2"/>
  <c r="AH4469" i="2"/>
  <c r="AI4469" i="2"/>
  <c r="AJ4469" i="2"/>
  <c r="AF4470" i="2"/>
  <c r="AK4470" i="2" s="1"/>
  <c r="AG4470" i="2"/>
  <c r="AH4470" i="2"/>
  <c r="AI4470" i="2"/>
  <c r="AJ4470" i="2"/>
  <c r="AF4471" i="2"/>
  <c r="AK4471" i="2" s="1"/>
  <c r="AG4471" i="2"/>
  <c r="AL4471" i="2"/>
  <c r="AH4471" i="2"/>
  <c r="AI4471" i="2"/>
  <c r="AJ4471" i="2"/>
  <c r="AF4472" i="2"/>
  <c r="AK4472" i="2"/>
  <c r="AG4472" i="2"/>
  <c r="AH4472" i="2"/>
  <c r="AL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s="1"/>
  <c r="AG4476" i="2"/>
  <c r="AL4476" i="2" s="1"/>
  <c r="AH4476" i="2"/>
  <c r="AI4476" i="2"/>
  <c r="AJ4476" i="2"/>
  <c r="AF4477" i="2"/>
  <c r="AK4477" i="2" s="1"/>
  <c r="AG4477" i="2"/>
  <c r="AH4477" i="2"/>
  <c r="AI4477" i="2"/>
  <c r="AJ4477" i="2"/>
  <c r="AF4478" i="2"/>
  <c r="AK4478" i="2"/>
  <c r="AG4478" i="2"/>
  <c r="AH4478" i="2"/>
  <c r="AI4478" i="2"/>
  <c r="AL4478" i="2" s="1"/>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s="1"/>
  <c r="AG4483" i="2"/>
  <c r="AH4483" i="2"/>
  <c r="AI4483" i="2"/>
  <c r="AL4483" i="2" s="1"/>
  <c r="AJ4483" i="2"/>
  <c r="AF4484" i="2"/>
  <c r="AK4484" i="2"/>
  <c r="AG4484" i="2"/>
  <c r="AH4484" i="2"/>
  <c r="AL4484" i="2" s="1"/>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L4488" i="2" s="1"/>
  <c r="AH4488" i="2"/>
  <c r="AI4488" i="2"/>
  <c r="AJ4488" i="2"/>
  <c r="AF4489" i="2"/>
  <c r="AK4489" i="2"/>
  <c r="AG4489" i="2"/>
  <c r="AH4489" i="2"/>
  <c r="AI4489" i="2"/>
  <c r="AJ4489" i="2"/>
  <c r="AF4490" i="2"/>
  <c r="AK4490" i="2" s="1"/>
  <c r="AG4490" i="2"/>
  <c r="AH4490" i="2"/>
  <c r="AI4490" i="2"/>
  <c r="AJ4490" i="2"/>
  <c r="AF4491" i="2"/>
  <c r="AK4491" i="2"/>
  <c r="AG4491" i="2"/>
  <c r="AH4491" i="2"/>
  <c r="AI4491" i="2"/>
  <c r="AJ4491" i="2"/>
  <c r="AF4492" i="2"/>
  <c r="AK4492" i="2" s="1"/>
  <c r="AG4492" i="2"/>
  <c r="AL4492" i="2" s="1"/>
  <c r="AH4492" i="2"/>
  <c r="AI4492" i="2"/>
  <c r="AJ4492" i="2"/>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L4498" i="2" s="1"/>
  <c r="AG4498" i="2"/>
  <c r="AH4498" i="2"/>
  <c r="AI4498" i="2"/>
  <c r="AJ4498" i="2"/>
  <c r="AF4499" i="2"/>
  <c r="AK4499" i="2" s="1"/>
  <c r="AL4499" i="2" s="1"/>
  <c r="AG4499" i="2"/>
  <c r="AH4499" i="2"/>
  <c r="AI4499" i="2"/>
  <c r="AJ4499" i="2"/>
  <c r="AF4500" i="2"/>
  <c r="AK4500" i="2"/>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s="1"/>
  <c r="AG4504" i="2"/>
  <c r="AH4504" i="2"/>
  <c r="AI4504" i="2"/>
  <c r="AJ4504" i="2"/>
  <c r="AF4505" i="2"/>
  <c r="AK4505" i="2"/>
  <c r="AG4505" i="2"/>
  <c r="AH4505" i="2"/>
  <c r="AL4505" i="2" s="1"/>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L4511" i="2" s="1"/>
  <c r="AJ4511" i="2"/>
  <c r="AF4512" i="2"/>
  <c r="AK4512" i="2" s="1"/>
  <c r="AG4512" i="2"/>
  <c r="AH4512" i="2"/>
  <c r="AI4512" i="2"/>
  <c r="AJ4512" i="2"/>
  <c r="AF4513" i="2"/>
  <c r="AK4513" i="2" s="1"/>
  <c r="AL4513" i="2" s="1"/>
  <c r="AG4513" i="2"/>
  <c r="AH4513" i="2"/>
  <c r="AI4513" i="2"/>
  <c r="AJ4513" i="2"/>
  <c r="AF4514" i="2"/>
  <c r="AK4514" i="2"/>
  <c r="AG4514" i="2"/>
  <c r="AH4514" i="2"/>
  <c r="AI4514" i="2"/>
  <c r="AJ4514" i="2"/>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c r="AG4518" i="2"/>
  <c r="AH4518" i="2"/>
  <c r="AI4518" i="2"/>
  <c r="AJ4518" i="2"/>
  <c r="AF4519" i="2"/>
  <c r="AK4519" i="2" s="1"/>
  <c r="AL4519" i="2" s="1"/>
  <c r="AG4519" i="2"/>
  <c r="AH4519" i="2"/>
  <c r="AI4519" i="2"/>
  <c r="AJ4519" i="2"/>
  <c r="AF4520" i="2"/>
  <c r="AK4520" i="2" s="1"/>
  <c r="AL4520" i="2" s="1"/>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J4527" i="2"/>
  <c r="AL4527" i="2" s="1"/>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L4531" i="2" s="1"/>
  <c r="AJ4531" i="2"/>
  <c r="AF4532" i="2"/>
  <c r="AK4532" i="2"/>
  <c r="AG4532" i="2"/>
  <c r="AH4532" i="2"/>
  <c r="AI4532" i="2"/>
  <c r="AL4532" i="2" s="1"/>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c r="AG4538" i="2"/>
  <c r="AH4538" i="2"/>
  <c r="AI4538" i="2"/>
  <c r="AJ4538" i="2"/>
  <c r="AF4539" i="2"/>
  <c r="AK4539" i="2" s="1"/>
  <c r="AG4539" i="2"/>
  <c r="AH4539" i="2"/>
  <c r="AI4539" i="2"/>
  <c r="AL4539" i="2" s="1"/>
  <c r="AJ4539" i="2"/>
  <c r="AF4540" i="2"/>
  <c r="AK4540" i="2"/>
  <c r="AG4540" i="2"/>
  <c r="AH4540" i="2"/>
  <c r="AL4540" i="2" s="1"/>
  <c r="AI4540" i="2"/>
  <c r="AJ4540" i="2"/>
  <c r="AF4541" i="2"/>
  <c r="AK4541" i="2" s="1"/>
  <c r="AL4541" i="2" s="1"/>
  <c r="AG4541" i="2"/>
  <c r="AH4541" i="2"/>
  <c r="AI4541" i="2"/>
  <c r="AJ4541" i="2"/>
  <c r="AF4542" i="2"/>
  <c r="AK4542" i="2"/>
  <c r="AL4542" i="2" s="1"/>
  <c r="AG4542" i="2"/>
  <c r="AH4542" i="2"/>
  <c r="AI4542" i="2"/>
  <c r="AJ4542" i="2"/>
  <c r="AF4543" i="2"/>
  <c r="AK4543" i="2" s="1"/>
  <c r="AG4543" i="2"/>
  <c r="AH4543" i="2"/>
  <c r="AI4543" i="2"/>
  <c r="AJ4543" i="2"/>
  <c r="AL4543" i="2" s="1"/>
  <c r="AF4544" i="2"/>
  <c r="AK4544" i="2"/>
  <c r="AG4544" i="2"/>
  <c r="AH4544" i="2"/>
  <c r="AI4544" i="2"/>
  <c r="AJ4544" i="2"/>
  <c r="AF4545" i="2"/>
  <c r="AK4545" i="2" s="1"/>
  <c r="AG4545" i="2"/>
  <c r="AH4545" i="2"/>
  <c r="AI4545" i="2"/>
  <c r="AJ4545" i="2"/>
  <c r="AF4546" i="2"/>
  <c r="AK4546" i="2" s="1"/>
  <c r="AL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s="1"/>
  <c r="AG4550" i="2"/>
  <c r="AH4550" i="2"/>
  <c r="AI4550" i="2"/>
  <c r="AJ4550" i="2"/>
  <c r="AL4550" i="2" s="1"/>
  <c r="AF4551" i="2"/>
  <c r="AK4551" i="2" s="1"/>
  <c r="AG4551" i="2"/>
  <c r="AH4551" i="2"/>
  <c r="AI4551" i="2"/>
  <c r="AJ4551" i="2"/>
  <c r="AF4552" i="2"/>
  <c r="AK4552" i="2"/>
  <c r="AG4552" i="2"/>
  <c r="AH4552" i="2"/>
  <c r="AI4552" i="2"/>
  <c r="AJ4552" i="2"/>
  <c r="AF4553" i="2"/>
  <c r="AG4553" i="2"/>
  <c r="AH4553" i="2"/>
  <c r="AI4553" i="2"/>
  <c r="AJ4553" i="2"/>
  <c r="AL4553" i="2" s="1"/>
  <c r="AK4553" i="2"/>
  <c r="AF4554" i="2"/>
  <c r="AK4554" i="2" s="1"/>
  <c r="AG4554" i="2"/>
  <c r="AH4554" i="2"/>
  <c r="AI4554" i="2"/>
  <c r="AJ4554" i="2"/>
  <c r="AF4555" i="2"/>
  <c r="AK4555" i="2" s="1"/>
  <c r="AG4555" i="2"/>
  <c r="AL4555" i="2" s="1"/>
  <c r="AH4555" i="2"/>
  <c r="AI4555" i="2"/>
  <c r="AJ4555" i="2"/>
  <c r="AF4556" i="2"/>
  <c r="AK4556" i="2"/>
  <c r="AG4556" i="2"/>
  <c r="AH4556" i="2"/>
  <c r="AI4556" i="2"/>
  <c r="AL4556" i="2" s="1"/>
  <c r="AJ4556" i="2"/>
  <c r="AF4557" i="2"/>
  <c r="AK4557" i="2"/>
  <c r="AG4557" i="2"/>
  <c r="AH4557" i="2"/>
  <c r="AL4557" i="2" s="1"/>
  <c r="AI4557" i="2"/>
  <c r="AJ4557" i="2"/>
  <c r="AF4558" i="2"/>
  <c r="AK4558" i="2"/>
  <c r="AG4558" i="2"/>
  <c r="AH4558" i="2"/>
  <c r="AI4558" i="2"/>
  <c r="AJ4558" i="2"/>
  <c r="AF4559" i="2"/>
  <c r="AK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s="1"/>
  <c r="AL4566" i="2" s="1"/>
  <c r="AG4566" i="2"/>
  <c r="AH4566" i="2"/>
  <c r="AI4566" i="2"/>
  <c r="AJ4566" i="2"/>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c r="AG4570" i="2"/>
  <c r="AL4570" i="2" s="1"/>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s="1"/>
  <c r="AG4575" i="2"/>
  <c r="AH4575" i="2"/>
  <c r="AI4575" i="2"/>
  <c r="AJ4575" i="2"/>
  <c r="AL4575" i="2" s="1"/>
  <c r="AF4576" i="2"/>
  <c r="AK4576" i="2" s="1"/>
  <c r="AG4576" i="2"/>
  <c r="AH4576" i="2"/>
  <c r="AI4576" i="2"/>
  <c r="AJ4576" i="2"/>
  <c r="AF4577" i="2"/>
  <c r="AK4577" i="2"/>
  <c r="AG4577" i="2"/>
  <c r="AL4577" i="2" s="1"/>
  <c r="AH4577" i="2"/>
  <c r="AI4577" i="2"/>
  <c r="AJ4577" i="2"/>
  <c r="AF4578" i="2"/>
  <c r="AK4578" i="2"/>
  <c r="AG4578" i="2"/>
  <c r="AH4578" i="2"/>
  <c r="AI4578" i="2"/>
  <c r="AL4578" i="2" s="1"/>
  <c r="AJ4578" i="2"/>
  <c r="AF4579" i="2"/>
  <c r="AK4579" i="2"/>
  <c r="AG4579" i="2"/>
  <c r="AH4579" i="2"/>
  <c r="AI4579" i="2"/>
  <c r="AJ4579" i="2"/>
  <c r="AL4579" i="2" s="1"/>
  <c r="AF4580" i="2"/>
  <c r="AK4580" i="2"/>
  <c r="AG4580" i="2"/>
  <c r="AH4580" i="2"/>
  <c r="AI4580" i="2"/>
  <c r="AJ4580" i="2"/>
  <c r="AF4581" i="2"/>
  <c r="AK4581" i="2"/>
  <c r="AL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s="1"/>
  <c r="AG4590" i="2"/>
  <c r="AL4590" i="2" s="1"/>
  <c r="AH4590" i="2"/>
  <c r="AI4590" i="2"/>
  <c r="AJ4590" i="2"/>
  <c r="AF4591" i="2"/>
  <c r="AK4591" i="2" s="1"/>
  <c r="AL4591" i="2" s="1"/>
  <c r="AG4591" i="2"/>
  <c r="AH4591" i="2"/>
  <c r="AI4591" i="2"/>
  <c r="AJ4591" i="2"/>
  <c r="AF4592" i="2"/>
  <c r="AK4592" i="2" s="1"/>
  <c r="AG4592" i="2"/>
  <c r="AH4592" i="2"/>
  <c r="AL4592" i="2" s="1"/>
  <c r="AI4592" i="2"/>
  <c r="AJ4592" i="2"/>
  <c r="AF4593" i="2"/>
  <c r="AK4593" i="2"/>
  <c r="AG4593" i="2"/>
  <c r="AH4593" i="2"/>
  <c r="AL4593" i="2" s="1"/>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s="1"/>
  <c r="AG4603" i="2"/>
  <c r="AL4603" i="2" s="1"/>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F4610" i="2"/>
  <c r="AK4610" i="2"/>
  <c r="AG4610" i="2"/>
  <c r="AL4610" i="2" s="1"/>
  <c r="AH4610" i="2"/>
  <c r="AI4610" i="2"/>
  <c r="AJ4610" i="2"/>
  <c r="AF4611" i="2"/>
  <c r="AK4611" i="2" s="1"/>
  <c r="AG4611" i="2"/>
  <c r="AH4611" i="2"/>
  <c r="AI4611" i="2"/>
  <c r="AJ4611" i="2"/>
  <c r="AL4611" i="2" s="1"/>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s="1"/>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c r="AG4627" i="2"/>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s="1"/>
  <c r="AG4632" i="2"/>
  <c r="AH4632" i="2"/>
  <c r="AI4632" i="2"/>
  <c r="AJ4632" i="2"/>
  <c r="AF4633" i="2"/>
  <c r="AK4633" i="2"/>
  <c r="AG4633" i="2"/>
  <c r="AH4633" i="2"/>
  <c r="AI4633" i="2"/>
  <c r="AJ4633" i="2"/>
  <c r="AF4634" i="2"/>
  <c r="AK4634" i="2"/>
  <c r="AG4634" i="2"/>
  <c r="AH4634" i="2"/>
  <c r="AI4634" i="2"/>
  <c r="AJ4634" i="2"/>
  <c r="AL4634" i="2" s="1"/>
  <c r="AF4635" i="2"/>
  <c r="AK4635" i="2" s="1"/>
  <c r="AG4635" i="2"/>
  <c r="AH4635" i="2"/>
  <c r="AI4635" i="2"/>
  <c r="AJ4635" i="2"/>
  <c r="AF4636" i="2"/>
  <c r="AK4636" i="2"/>
  <c r="AG4636" i="2"/>
  <c r="AH4636" i="2"/>
  <c r="AI4636" i="2"/>
  <c r="AJ4636" i="2"/>
  <c r="AF4637" i="2"/>
  <c r="AK4637" i="2"/>
  <c r="AG4637" i="2"/>
  <c r="AH4637" i="2"/>
  <c r="AL4637" i="2" s="1"/>
  <c r="AI4637" i="2"/>
  <c r="AJ4637" i="2"/>
  <c r="AF4638" i="2"/>
  <c r="AK4638" i="2"/>
  <c r="AG4638" i="2"/>
  <c r="AH4638" i="2"/>
  <c r="AI4638" i="2"/>
  <c r="AJ4638" i="2"/>
  <c r="AL4638" i="2" s="1"/>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L4646" i="2" s="1"/>
  <c r="AG4646" i="2"/>
  <c r="AH4646" i="2"/>
  <c r="AI4646" i="2"/>
  <c r="AJ4646" i="2"/>
  <c r="AF4647" i="2"/>
  <c r="AK4647" i="2"/>
  <c r="AG4647" i="2"/>
  <c r="AH4647" i="2"/>
  <c r="AI4647" i="2"/>
  <c r="AJ4647" i="2"/>
  <c r="AF4648" i="2"/>
  <c r="AK4648" i="2"/>
  <c r="AG4648" i="2"/>
  <c r="AH4648" i="2"/>
  <c r="AI4648" i="2"/>
  <c r="AL4648" i="2" s="1"/>
  <c r="AJ4648" i="2"/>
  <c r="AF4649" i="2"/>
  <c r="AK4649" i="2"/>
  <c r="AG4649" i="2"/>
  <c r="AH4649" i="2"/>
  <c r="AI4649" i="2"/>
  <c r="AJ4649" i="2"/>
  <c r="AF4650" i="2"/>
  <c r="AK4650" i="2"/>
  <c r="AG4650" i="2"/>
  <c r="AH4650" i="2"/>
  <c r="AI4650" i="2"/>
  <c r="AJ4650" i="2"/>
  <c r="AF4651" i="2"/>
  <c r="AK4651" i="2"/>
  <c r="AG4651" i="2"/>
  <c r="AH4651" i="2"/>
  <c r="AI4651" i="2"/>
  <c r="AJ4651" i="2"/>
  <c r="AF4652" i="2"/>
  <c r="AK4652" i="2"/>
  <c r="AG4652" i="2"/>
  <c r="AH4652" i="2"/>
  <c r="AI4652" i="2"/>
  <c r="AJ4652" i="2"/>
  <c r="AF4653" i="2"/>
  <c r="AK4653" i="2" s="1"/>
  <c r="AL4653" i="2" s="1"/>
  <c r="AG4653" i="2"/>
  <c r="AH4653" i="2"/>
  <c r="AI4653" i="2"/>
  <c r="AJ4653" i="2"/>
  <c r="AF4654" i="2"/>
  <c r="AK4654" i="2"/>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L4661" i="2" s="1"/>
  <c r="AH4661" i="2"/>
  <c r="AI4661" i="2"/>
  <c r="AJ4661" i="2"/>
  <c r="AF4662" i="2"/>
  <c r="AK4662" i="2" s="1"/>
  <c r="AL4662" i="2"/>
  <c r="AG4662" i="2"/>
  <c r="AH4662" i="2"/>
  <c r="AI4662" i="2"/>
  <c r="AJ4662" i="2"/>
  <c r="AF4663" i="2"/>
  <c r="AK4663" i="2" s="1"/>
  <c r="AL4663" i="2" s="1"/>
  <c r="AG4663" i="2"/>
  <c r="AH4663" i="2"/>
  <c r="AI4663" i="2"/>
  <c r="AJ4663" i="2"/>
  <c r="AF4664" i="2"/>
  <c r="AK4664" i="2" s="1"/>
  <c r="AL4664" i="2" s="1"/>
  <c r="AG4664" i="2"/>
  <c r="AH4664" i="2"/>
  <c r="AI4664" i="2"/>
  <c r="AJ4664" i="2"/>
  <c r="AF4665" i="2"/>
  <c r="AK4665" i="2"/>
  <c r="AG4665" i="2"/>
  <c r="AH4665" i="2"/>
  <c r="AI4665" i="2"/>
  <c r="AJ4665" i="2"/>
  <c r="AF4666" i="2"/>
  <c r="AK4666" i="2"/>
  <c r="AG4666" i="2"/>
  <c r="AH4666" i="2"/>
  <c r="AI4666" i="2"/>
  <c r="AJ4666" i="2"/>
  <c r="AF4667" i="2"/>
  <c r="AK4667" i="2" s="1"/>
  <c r="AL4667" i="2"/>
  <c r="AG4667" i="2"/>
  <c r="AH4667" i="2"/>
  <c r="AI4667" i="2"/>
  <c r="AJ4667" i="2"/>
  <c r="AF4668" i="2"/>
  <c r="AK4668" i="2"/>
  <c r="AL4668" i="2" s="1"/>
  <c r="AG4668" i="2"/>
  <c r="AH4668" i="2"/>
  <c r="AI4668" i="2"/>
  <c r="AJ4668" i="2"/>
  <c r="AF4669" i="2"/>
  <c r="AK4669" i="2" s="1"/>
  <c r="AG4669" i="2"/>
  <c r="AL4669" i="2" s="1"/>
  <c r="AH4669" i="2"/>
  <c r="AI4669" i="2"/>
  <c r="AJ4669" i="2"/>
  <c r="AF4670" i="2"/>
  <c r="AK4670" i="2"/>
  <c r="AG4670" i="2"/>
  <c r="AH4670" i="2"/>
  <c r="AI4670" i="2"/>
  <c r="AJ4670" i="2"/>
  <c r="AF4671" i="2"/>
  <c r="AK4671" i="2" s="1"/>
  <c r="AG4671" i="2"/>
  <c r="AH4671" i="2"/>
  <c r="AI4671" i="2"/>
  <c r="AJ4671" i="2"/>
  <c r="AF4672" i="2"/>
  <c r="AK4672" i="2" s="1"/>
  <c r="AG4672" i="2"/>
  <c r="AH4672" i="2"/>
  <c r="AI4672" i="2"/>
  <c r="AJ4672" i="2"/>
  <c r="AF4673" i="2"/>
  <c r="AK4673" i="2"/>
  <c r="AG4673" i="2"/>
  <c r="AH4673" i="2"/>
  <c r="AI4673" i="2"/>
  <c r="AJ4673" i="2"/>
  <c r="AF4674" i="2"/>
  <c r="AK4674" i="2"/>
  <c r="AG4674" i="2"/>
  <c r="AH4674" i="2"/>
  <c r="AI4674" i="2"/>
  <c r="AJ4674" i="2"/>
  <c r="AF4675" i="2"/>
  <c r="AK4675" i="2" s="1"/>
  <c r="AG4675" i="2"/>
  <c r="AL4675" i="2" s="1"/>
  <c r="AH4675" i="2"/>
  <c r="AI4675" i="2"/>
  <c r="AJ4675" i="2"/>
  <c r="AF4676" i="2"/>
  <c r="AK4676" i="2"/>
  <c r="AG4676" i="2"/>
  <c r="AH4676" i="2"/>
  <c r="AI4676" i="2"/>
  <c r="AJ4676" i="2"/>
  <c r="AF4677" i="2"/>
  <c r="AK4677" i="2" s="1"/>
  <c r="AG4677" i="2"/>
  <c r="AH4677" i="2"/>
  <c r="AI4677" i="2"/>
  <c r="AJ4677" i="2"/>
  <c r="AF4678" i="2"/>
  <c r="AK4678" i="2" s="1"/>
  <c r="AG4678" i="2"/>
  <c r="AL4678" i="2" s="1"/>
  <c r="AH4678" i="2"/>
  <c r="AI4678" i="2"/>
  <c r="AJ4678" i="2"/>
  <c r="AF4679" i="2"/>
  <c r="AK4679" i="2"/>
  <c r="AG4679" i="2"/>
  <c r="AH4679" i="2"/>
  <c r="AI4679" i="2"/>
  <c r="AL4679" i="2" s="1"/>
  <c r="AJ4679" i="2"/>
  <c r="AF4680" i="2"/>
  <c r="AK4680" i="2"/>
  <c r="AG4680" i="2"/>
  <c r="AH4680" i="2"/>
  <c r="AL4680" i="2" s="1"/>
  <c r="AI4680" i="2"/>
  <c r="AJ4680" i="2"/>
  <c r="AF4681" i="2"/>
  <c r="AK4681" i="2" s="1"/>
  <c r="AG4681" i="2"/>
  <c r="AH4681" i="2"/>
  <c r="AI4681" i="2"/>
  <c r="AL4681" i="2" s="1"/>
  <c r="AJ4681" i="2"/>
  <c r="AF4682" i="2"/>
  <c r="AK4682" i="2" s="1"/>
  <c r="AG4682" i="2"/>
  <c r="AH4682" i="2"/>
  <c r="AI4682" i="2"/>
  <c r="AJ4682" i="2"/>
  <c r="AL4682" i="2" s="1"/>
  <c r="AF4683" i="2"/>
  <c r="AK4683" i="2"/>
  <c r="AG4683" i="2"/>
  <c r="AH4683" i="2"/>
  <c r="AI4683" i="2"/>
  <c r="AJ4683" i="2"/>
  <c r="AF4684" i="2"/>
  <c r="AK4684" i="2" s="1"/>
  <c r="AG4684" i="2"/>
  <c r="AH4684" i="2"/>
  <c r="AI4684" i="2"/>
  <c r="AJ4684" i="2"/>
  <c r="AF4685" i="2"/>
  <c r="AK4685" i="2"/>
  <c r="AL4685" i="2"/>
  <c r="AG4685" i="2"/>
  <c r="AH4685" i="2"/>
  <c r="AI4685" i="2"/>
  <c r="AJ4685" i="2"/>
  <c r="AF4686" i="2"/>
  <c r="AK4686" i="2" s="1"/>
  <c r="AG4686" i="2"/>
  <c r="AL4686" i="2" s="1"/>
  <c r="AH4686" i="2"/>
  <c r="AI4686" i="2"/>
  <c r="AJ4686" i="2"/>
  <c r="AF4687" i="2"/>
  <c r="AK4687" i="2" s="1"/>
  <c r="AG4687" i="2"/>
  <c r="AH4687" i="2"/>
  <c r="AI4687" i="2"/>
  <c r="AL4687" i="2"/>
  <c r="AJ4687" i="2"/>
  <c r="AF4688" i="2"/>
  <c r="AK4688" i="2" s="1"/>
  <c r="AG4688" i="2"/>
  <c r="AH4688" i="2"/>
  <c r="AI4688" i="2"/>
  <c r="AJ4688" i="2"/>
  <c r="AF4689" i="2"/>
  <c r="AK4689" i="2" s="1"/>
  <c r="AG4689" i="2"/>
  <c r="AL4689" i="2" s="1"/>
  <c r="AH4689" i="2"/>
  <c r="AI4689" i="2"/>
  <c r="AJ4689" i="2"/>
  <c r="AF4690" i="2"/>
  <c r="AK4690" i="2"/>
  <c r="AG4690" i="2"/>
  <c r="AH4690" i="2"/>
  <c r="AL4690" i="2"/>
  <c r="AI4690" i="2"/>
  <c r="AJ4690" i="2"/>
  <c r="AF4691" i="2"/>
  <c r="AK4691" i="2" s="1"/>
  <c r="AG4691" i="2"/>
  <c r="AL4691" i="2" s="1"/>
  <c r="AH4691" i="2"/>
  <c r="AI4691" i="2"/>
  <c r="AJ4691" i="2"/>
  <c r="AF4692" i="2"/>
  <c r="AK4692" i="2"/>
  <c r="AG4692" i="2"/>
  <c r="AH4692" i="2"/>
  <c r="AL4692" i="2" s="1"/>
  <c r="AI4692" i="2"/>
  <c r="AJ4692" i="2"/>
  <c r="AF4693" i="2"/>
  <c r="AG4693" i="2"/>
  <c r="AH4693" i="2"/>
  <c r="AI4693" i="2"/>
  <c r="AJ4693" i="2"/>
  <c r="AK4693" i="2"/>
  <c r="AF4694" i="2"/>
  <c r="AK4694" i="2" s="1"/>
  <c r="AG4694" i="2"/>
  <c r="AH4694" i="2"/>
  <c r="AL4694" i="2" s="1"/>
  <c r="AI4694" i="2"/>
  <c r="AJ4694" i="2"/>
  <c r="AF4695" i="2"/>
  <c r="AK4695" i="2"/>
  <c r="AG4695" i="2"/>
  <c r="AH4695" i="2"/>
  <c r="AI4695" i="2"/>
  <c r="AJ4695" i="2"/>
  <c r="AF4696" i="2"/>
  <c r="AK4696" i="2" s="1"/>
  <c r="AG4696" i="2"/>
  <c r="AL4696" i="2" s="1"/>
  <c r="AH4696" i="2"/>
  <c r="AI4696" i="2"/>
  <c r="AJ4696" i="2"/>
  <c r="AF4697" i="2"/>
  <c r="AK4697" i="2" s="1"/>
  <c r="AL4697" i="2" s="1"/>
  <c r="AG4697" i="2"/>
  <c r="AH4697" i="2"/>
  <c r="AI4697" i="2"/>
  <c r="AJ4697" i="2"/>
  <c r="AF4698" i="2"/>
  <c r="AK4698" i="2" s="1"/>
  <c r="AG4698" i="2"/>
  <c r="AH4698" i="2"/>
  <c r="AI4698" i="2"/>
  <c r="AJ4698" i="2"/>
  <c r="AL4698" i="2" s="1"/>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c r="AG4707" i="2"/>
  <c r="AL4707" i="2" s="1"/>
  <c r="AH4707" i="2"/>
  <c r="AI4707" i="2"/>
  <c r="AJ4707" i="2"/>
  <c r="AF4708" i="2"/>
  <c r="AK4708" i="2" s="1"/>
  <c r="AG4708" i="2"/>
  <c r="AL4708" i="2" s="1"/>
  <c r="AH4708" i="2"/>
  <c r="AI4708" i="2"/>
  <c r="AJ4708" i="2"/>
  <c r="AF4709" i="2"/>
  <c r="AK4709" i="2"/>
  <c r="AL4709" i="2" s="1"/>
  <c r="AG4709" i="2"/>
  <c r="AH4709" i="2"/>
  <c r="AI4709" i="2"/>
  <c r="AJ4709" i="2"/>
  <c r="AF4710" i="2"/>
  <c r="AK4710" i="2"/>
  <c r="AG4710" i="2"/>
  <c r="AL4710" i="2" s="1"/>
  <c r="AH4710" i="2"/>
  <c r="AI4710" i="2"/>
  <c r="AJ4710" i="2"/>
  <c r="AF4711" i="2"/>
  <c r="AG4711" i="2"/>
  <c r="AH4711" i="2"/>
  <c r="AL4711" i="2" s="1"/>
  <c r="AI4711" i="2"/>
  <c r="AJ4711" i="2"/>
  <c r="AK4711" i="2"/>
  <c r="AF4712" i="2"/>
  <c r="AK4712" i="2" s="1"/>
  <c r="AG4712" i="2"/>
  <c r="AH4712" i="2"/>
  <c r="AI4712" i="2"/>
  <c r="AJ4712" i="2"/>
  <c r="AF4713" i="2"/>
  <c r="AK4713" i="2" s="1"/>
  <c r="AG4713" i="2"/>
  <c r="AH4713" i="2"/>
  <c r="AI4713" i="2"/>
  <c r="AJ4713" i="2"/>
  <c r="AF4714" i="2"/>
  <c r="AK4714" i="2"/>
  <c r="AG4714" i="2"/>
  <c r="AL4714" i="2" s="1"/>
  <c r="AH4714" i="2"/>
  <c r="AI4714" i="2"/>
  <c r="AJ4714" i="2"/>
  <c r="AF4715" i="2"/>
  <c r="AK4715" i="2" s="1"/>
  <c r="AG4715" i="2"/>
  <c r="AL4715" i="2" s="1"/>
  <c r="AH4715" i="2"/>
  <c r="AI4715" i="2"/>
  <c r="AJ4715" i="2"/>
  <c r="AF4716" i="2"/>
  <c r="AK4716" i="2"/>
  <c r="AG4716" i="2"/>
  <c r="AH4716" i="2"/>
  <c r="AI4716" i="2"/>
  <c r="AJ4716" i="2"/>
  <c r="AF4717" i="2"/>
  <c r="AK4717" i="2" s="1"/>
  <c r="AG4717" i="2"/>
  <c r="AL4717" i="2" s="1"/>
  <c r="AH4717" i="2"/>
  <c r="AI4717" i="2"/>
  <c r="AJ4717" i="2"/>
  <c r="AF4718" i="2"/>
  <c r="AK4718" i="2"/>
  <c r="AG4718" i="2"/>
  <c r="AL4718" i="2"/>
  <c r="AH4718" i="2"/>
  <c r="AI4718" i="2"/>
  <c r="AJ4718" i="2"/>
  <c r="AF4719" i="2"/>
  <c r="AK4719" i="2" s="1"/>
  <c r="AG4719" i="2"/>
  <c r="AH4719" i="2"/>
  <c r="AI4719" i="2"/>
  <c r="AJ4719" i="2"/>
  <c r="AL4719" i="2" s="1"/>
  <c r="AF4720" i="2"/>
  <c r="AK4720" i="2"/>
  <c r="AG4720" i="2"/>
  <c r="AH4720" i="2"/>
  <c r="AI4720" i="2"/>
  <c r="AJ4720" i="2"/>
  <c r="AF4721" i="2"/>
  <c r="AK4721" i="2"/>
  <c r="AG4721" i="2"/>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s="1"/>
  <c r="AG4726" i="2"/>
  <c r="AL4726" i="2" s="1"/>
  <c r="AH4726" i="2"/>
  <c r="AI4726" i="2"/>
  <c r="AJ4726" i="2"/>
  <c r="AF4727" i="2"/>
  <c r="AK4727" i="2" s="1"/>
  <c r="AG4727" i="2"/>
  <c r="AH4727" i="2"/>
  <c r="AI4727" i="2"/>
  <c r="AJ4727" i="2"/>
  <c r="AF4728" i="2"/>
  <c r="AK4728" i="2"/>
  <c r="AL4728" i="2"/>
  <c r="AG4728" i="2"/>
  <c r="AH4728" i="2"/>
  <c r="AI4728" i="2"/>
  <c r="AJ4728" i="2"/>
  <c r="AF4729" i="2"/>
  <c r="AK4729" i="2" s="1"/>
  <c r="AL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s="1"/>
  <c r="AG4740" i="2"/>
  <c r="AL4740" i="2" s="1"/>
  <c r="AH4740" i="2"/>
  <c r="AI4740" i="2"/>
  <c r="AJ4740" i="2"/>
  <c r="AF4741" i="2"/>
  <c r="AK4741" i="2"/>
  <c r="AG4741" i="2"/>
  <c r="AH4741" i="2"/>
  <c r="AI4741" i="2"/>
  <c r="AJ4741" i="2"/>
  <c r="AL4741" i="2" s="1"/>
  <c r="AF4742" i="2"/>
  <c r="AK4742" i="2" s="1"/>
  <c r="AG4742" i="2"/>
  <c r="AL4742" i="2" s="1"/>
  <c r="AH4742" i="2"/>
  <c r="AI4742" i="2"/>
  <c r="AJ4742" i="2"/>
  <c r="AF4743" i="2"/>
  <c r="AK4743" i="2" s="1"/>
  <c r="AG4743" i="2"/>
  <c r="AH4743" i="2"/>
  <c r="AI4743" i="2"/>
  <c r="AJ4743" i="2"/>
  <c r="AL4743" i="2" s="1"/>
  <c r="AF4744" i="2"/>
  <c r="AK4744" i="2"/>
  <c r="AG4744" i="2"/>
  <c r="AH4744" i="2"/>
  <c r="AI4744" i="2"/>
  <c r="AJ4744" i="2"/>
  <c r="AF4745" i="2"/>
  <c r="AK4745" i="2" s="1"/>
  <c r="AL4745" i="2" s="1"/>
  <c r="AG4745" i="2"/>
  <c r="AH4745" i="2"/>
  <c r="AI4745" i="2"/>
  <c r="AJ4745" i="2"/>
  <c r="AF4746" i="2"/>
  <c r="AK4746" i="2" s="1"/>
  <c r="AG4746" i="2"/>
  <c r="AH4746" i="2"/>
  <c r="AI4746" i="2"/>
  <c r="AJ4746" i="2"/>
  <c r="AF4747" i="2"/>
  <c r="AK4747" i="2"/>
  <c r="AL4747" i="2"/>
  <c r="AG4747" i="2"/>
  <c r="AH4747" i="2"/>
  <c r="AI4747" i="2"/>
  <c r="AJ4747" i="2"/>
  <c r="AF4748" i="2"/>
  <c r="AK4748" i="2" s="1"/>
  <c r="AG4748" i="2"/>
  <c r="AH4748" i="2"/>
  <c r="AI4748" i="2"/>
  <c r="AJ4748" i="2"/>
  <c r="AF4749" i="2"/>
  <c r="AK4749" i="2" s="1"/>
  <c r="AG4749" i="2"/>
  <c r="AH4749" i="2"/>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s="1"/>
  <c r="AG4755" i="2"/>
  <c r="AH4755" i="2"/>
  <c r="AL4755" i="2" s="1"/>
  <c r="AI4755" i="2"/>
  <c r="AJ4755" i="2"/>
  <c r="AF4756" i="2"/>
  <c r="AK4756" i="2"/>
  <c r="AG4756" i="2"/>
  <c r="AH4756" i="2"/>
  <c r="AI4756" i="2"/>
  <c r="AJ4756" i="2"/>
  <c r="AF4757" i="2"/>
  <c r="AK4757" i="2" s="1"/>
  <c r="AG4757" i="2"/>
  <c r="AH4757" i="2"/>
  <c r="AI4757" i="2"/>
  <c r="AJ4757" i="2"/>
  <c r="AF4758" i="2"/>
  <c r="AK4758" i="2"/>
  <c r="AG4758" i="2"/>
  <c r="AH4758" i="2"/>
  <c r="AI4758" i="2"/>
  <c r="AL4758" i="2" s="1"/>
  <c r="AJ4758" i="2"/>
  <c r="AF4759" i="2"/>
  <c r="AK4759" i="2"/>
  <c r="AG4759" i="2"/>
  <c r="AH4759" i="2"/>
  <c r="AI4759" i="2"/>
  <c r="AJ4759" i="2"/>
  <c r="AF4760" i="2"/>
  <c r="AK4760" i="2" s="1"/>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J4763" i="2"/>
  <c r="AF4764" i="2"/>
  <c r="AK4764" i="2"/>
  <c r="AG4764" i="2"/>
  <c r="AL4764" i="2" s="1"/>
  <c r="AH4764" i="2"/>
  <c r="AI4764" i="2"/>
  <c r="AJ4764" i="2"/>
  <c r="AF4765" i="2"/>
  <c r="AK4765" i="2" s="1"/>
  <c r="AG4765" i="2"/>
  <c r="AL4765" i="2" s="1"/>
  <c r="AH4765" i="2"/>
  <c r="AI4765" i="2"/>
  <c r="AJ4765" i="2"/>
  <c r="AF4766" i="2"/>
  <c r="AK4766" i="2"/>
  <c r="AG4766" i="2"/>
  <c r="AH4766" i="2"/>
  <c r="AI4766" i="2"/>
  <c r="AJ4766" i="2"/>
  <c r="AF4767" i="2"/>
  <c r="AK4767" i="2" s="1"/>
  <c r="AG4767" i="2"/>
  <c r="AH4767" i="2"/>
  <c r="AI4767" i="2"/>
  <c r="AJ4767" i="2"/>
  <c r="AF4768" i="2"/>
  <c r="AK4768" i="2"/>
  <c r="AG4768" i="2"/>
  <c r="AH4768" i="2"/>
  <c r="AL4768" i="2" s="1"/>
  <c r="AI4768" i="2"/>
  <c r="AJ4768" i="2"/>
  <c r="AF4769" i="2"/>
  <c r="AK4769" i="2" s="1"/>
  <c r="AL4769" i="2"/>
  <c r="AG4769" i="2"/>
  <c r="AH4769" i="2"/>
  <c r="AI4769" i="2"/>
  <c r="AJ4769" i="2"/>
  <c r="AF4770" i="2"/>
  <c r="AK4770" i="2"/>
  <c r="AG4770" i="2"/>
  <c r="AH4770" i="2"/>
  <c r="AI4770" i="2"/>
  <c r="AJ4770" i="2"/>
  <c r="AF4771" i="2"/>
  <c r="AK4771" i="2" s="1"/>
  <c r="AG4771" i="2"/>
  <c r="AL4771" i="2" s="1"/>
  <c r="AH4771" i="2"/>
  <c r="AI4771" i="2"/>
  <c r="AJ4771" i="2"/>
  <c r="AF4772" i="2"/>
  <c r="AK4772" i="2" s="1"/>
  <c r="AG4772" i="2"/>
  <c r="AH4772" i="2"/>
  <c r="AI4772" i="2"/>
  <c r="AJ4772" i="2"/>
  <c r="AL4772" i="2" s="1"/>
  <c r="AF4773" i="2"/>
  <c r="AK4773" i="2"/>
  <c r="AL4773" i="2" s="1"/>
  <c r="AG4773" i="2"/>
  <c r="AH4773" i="2"/>
  <c r="AI4773" i="2"/>
  <c r="AJ4773" i="2"/>
  <c r="AF4774" i="2"/>
  <c r="AK4774" i="2" s="1"/>
  <c r="AG4774" i="2"/>
  <c r="AH4774" i="2"/>
  <c r="AI4774" i="2"/>
  <c r="AJ4774" i="2"/>
  <c r="AF4775" i="2"/>
  <c r="AK4775" i="2" s="1"/>
  <c r="AG4775" i="2"/>
  <c r="AH4775" i="2"/>
  <c r="AI4775" i="2"/>
  <c r="AJ4775" i="2"/>
  <c r="AF4776" i="2"/>
  <c r="AK4776" i="2"/>
  <c r="AL4776" i="2"/>
  <c r="AG4776" i="2"/>
  <c r="AH4776" i="2"/>
  <c r="AI4776" i="2"/>
  <c r="AJ4776" i="2"/>
  <c r="AF4777" i="2"/>
  <c r="AK4777" i="2" s="1"/>
  <c r="AG4777" i="2"/>
  <c r="AL4777" i="2" s="1"/>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c r="AG4781" i="2"/>
  <c r="AL4781" i="2" s="1"/>
  <c r="AH4781" i="2"/>
  <c r="AI4781" i="2"/>
  <c r="AJ4781" i="2"/>
  <c r="AF4782" i="2"/>
  <c r="AK4782" i="2" s="1"/>
  <c r="AL4782" i="2"/>
  <c r="AG4782" i="2"/>
  <c r="AH4782" i="2"/>
  <c r="AI4782" i="2"/>
  <c r="AJ4782" i="2"/>
  <c r="AF4783" i="2"/>
  <c r="AK4783" i="2"/>
  <c r="AG4783" i="2"/>
  <c r="AL4783" i="2"/>
  <c r="AH4783" i="2"/>
  <c r="AI4783" i="2"/>
  <c r="AJ4783" i="2"/>
  <c r="AF4784" i="2"/>
  <c r="AK4784" i="2" s="1"/>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L4792" i="2"/>
  <c r="AG4792" i="2"/>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L4808" i="2" s="1"/>
  <c r="AG4808" i="2"/>
  <c r="AH4808" i="2"/>
  <c r="AI4808" i="2"/>
  <c r="AJ4808" i="2"/>
  <c r="AF4809" i="2"/>
  <c r="AK4809" i="2"/>
  <c r="AG4809" i="2"/>
  <c r="AH4809" i="2"/>
  <c r="AI4809" i="2"/>
  <c r="AJ4809" i="2"/>
  <c r="AF4810" i="2"/>
  <c r="AK4810" i="2" s="1"/>
  <c r="AG4810" i="2"/>
  <c r="AL4810" i="2" s="1"/>
  <c r="AH4810" i="2"/>
  <c r="AI4810" i="2"/>
  <c r="AJ4810" i="2"/>
  <c r="AF4811" i="2"/>
  <c r="AK4811" i="2"/>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L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s="1"/>
  <c r="AG4819" i="2"/>
  <c r="AH4819" i="2"/>
  <c r="AL4819" i="2" s="1"/>
  <c r="AI4819" i="2"/>
  <c r="AJ4819" i="2"/>
  <c r="AF4820" i="2"/>
  <c r="AK4820" i="2" s="1"/>
  <c r="AG4820" i="2"/>
  <c r="AL4820" i="2"/>
  <c r="AH4820" i="2"/>
  <c r="AI4820" i="2"/>
  <c r="AJ4820" i="2"/>
  <c r="AF4821" i="2"/>
  <c r="AK4821" i="2"/>
  <c r="AG4821" i="2"/>
  <c r="AH4821" i="2"/>
  <c r="AI4821" i="2"/>
  <c r="AJ4821" i="2"/>
  <c r="AF4822" i="2"/>
  <c r="AK4822" i="2" s="1"/>
  <c r="AG4822" i="2"/>
  <c r="AH4822" i="2"/>
  <c r="AI4822" i="2"/>
  <c r="AL4822" i="2" s="1"/>
  <c r="AJ4822" i="2"/>
  <c r="AF4823" i="2"/>
  <c r="AK4823" i="2"/>
  <c r="AG4823" i="2"/>
  <c r="AH4823" i="2"/>
  <c r="AI4823" i="2"/>
  <c r="AJ4823" i="2"/>
  <c r="AF4824" i="2"/>
  <c r="AK4824" i="2" s="1"/>
  <c r="AG4824" i="2"/>
  <c r="AH4824" i="2"/>
  <c r="AI4824" i="2"/>
  <c r="AJ4824" i="2"/>
  <c r="AF4825" i="2"/>
  <c r="AK4825" i="2"/>
  <c r="AL4825" i="2" s="1"/>
  <c r="AG4825" i="2"/>
  <c r="AH4825" i="2"/>
  <c r="AI4825" i="2"/>
  <c r="AJ4825" i="2"/>
  <c r="AF4826" i="2"/>
  <c r="AK4826" i="2"/>
  <c r="AG4826" i="2"/>
  <c r="AL4826" i="2"/>
  <c r="AH4826" i="2"/>
  <c r="AI4826" i="2"/>
  <c r="AJ4826" i="2"/>
  <c r="AF4827" i="2"/>
  <c r="AK4827" i="2" s="1"/>
  <c r="AG4827" i="2"/>
  <c r="AH4827" i="2"/>
  <c r="AI4827" i="2"/>
  <c r="AL4827" i="2"/>
  <c r="AJ4827" i="2"/>
  <c r="AF4828" i="2"/>
  <c r="AK4828" i="2" s="1"/>
  <c r="AG4828" i="2"/>
  <c r="AH4828" i="2"/>
  <c r="AI4828" i="2"/>
  <c r="AJ4828" i="2"/>
  <c r="AF4829" i="2"/>
  <c r="AK4829" i="2"/>
  <c r="AL4829" i="2" s="1"/>
  <c r="AG4829" i="2"/>
  <c r="AH4829" i="2"/>
  <c r="AI4829" i="2"/>
  <c r="AJ4829" i="2"/>
  <c r="AF4830" i="2"/>
  <c r="AK4830" i="2" s="1"/>
  <c r="AL4830" i="2" s="1"/>
  <c r="AG4830" i="2"/>
  <c r="AH4830" i="2"/>
  <c r="AI4830" i="2"/>
  <c r="AJ4830" i="2"/>
  <c r="AF4831" i="2"/>
  <c r="AK4831" i="2"/>
  <c r="AG4831" i="2"/>
  <c r="AH4831" i="2"/>
  <c r="AI4831" i="2"/>
  <c r="AJ4831" i="2"/>
  <c r="AF4832" i="2"/>
  <c r="AK4832" i="2" s="1"/>
  <c r="AG4832" i="2"/>
  <c r="AH4832" i="2"/>
  <c r="AI4832" i="2"/>
  <c r="AL4832" i="2" s="1"/>
  <c r="AJ4832" i="2"/>
  <c r="AF4833" i="2"/>
  <c r="AK4833" i="2"/>
  <c r="AG4833" i="2"/>
  <c r="AH4833" i="2"/>
  <c r="AL4833" i="2" s="1"/>
  <c r="AI4833" i="2"/>
  <c r="AJ4833" i="2"/>
  <c r="AF4834" i="2"/>
  <c r="AK4834" i="2" s="1"/>
  <c r="AG4834" i="2"/>
  <c r="AH4834" i="2"/>
  <c r="AI4834" i="2"/>
  <c r="AJ4834" i="2"/>
  <c r="AF4835" i="2"/>
  <c r="AK4835" i="2" s="1"/>
  <c r="AG4835" i="2"/>
  <c r="AH4835" i="2"/>
  <c r="AI4835" i="2"/>
  <c r="AJ4835" i="2"/>
  <c r="AL4835" i="2" s="1"/>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G4840" i="2"/>
  <c r="AH4840" i="2"/>
  <c r="AI4840" i="2"/>
  <c r="AJ4840" i="2"/>
  <c r="AF4841" i="2"/>
  <c r="AK4841" i="2" s="1"/>
  <c r="AG4841" i="2"/>
  <c r="AH4841" i="2"/>
  <c r="AI4841" i="2"/>
  <c r="AJ4841" i="2"/>
  <c r="AF4842" i="2"/>
  <c r="AK4842" i="2"/>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s="1"/>
  <c r="AG4846" i="2"/>
  <c r="AH4846" i="2"/>
  <c r="AI4846" i="2"/>
  <c r="AJ4846" i="2"/>
  <c r="AL4846" i="2"/>
  <c r="AF4847" i="2"/>
  <c r="AK4847" i="2"/>
  <c r="AG4847" i="2"/>
  <c r="AH4847" i="2"/>
  <c r="AI4847" i="2"/>
  <c r="AJ4847" i="2"/>
  <c r="AF4848" i="2"/>
  <c r="AK4848" i="2" s="1"/>
  <c r="AG4848" i="2"/>
  <c r="AL4848" i="2" s="1"/>
  <c r="AH4848" i="2"/>
  <c r="AI4848" i="2"/>
  <c r="AJ4848" i="2"/>
  <c r="AF4849" i="2"/>
  <c r="AK4849" i="2"/>
  <c r="AG4849" i="2"/>
  <c r="AH4849" i="2"/>
  <c r="AL4849" i="2" s="1"/>
  <c r="AI4849" i="2"/>
  <c r="AJ4849" i="2"/>
  <c r="AF4850" i="2"/>
  <c r="AK4850" i="2" s="1"/>
  <c r="AG4850" i="2"/>
  <c r="AH4850" i="2"/>
  <c r="AI4850" i="2"/>
  <c r="AJ4850" i="2"/>
  <c r="AF4851" i="2"/>
  <c r="AK4851" i="2" s="1"/>
  <c r="AG4851" i="2"/>
  <c r="AH4851" i="2"/>
  <c r="AI4851" i="2"/>
  <c r="AJ4851" i="2"/>
  <c r="AF4852" i="2"/>
  <c r="AK4852" i="2" s="1"/>
  <c r="AG4852" i="2"/>
  <c r="AH4852" i="2"/>
  <c r="AI4852" i="2"/>
  <c r="AJ4852" i="2"/>
  <c r="AL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s="1"/>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L4864" i="2" s="1"/>
  <c r="AJ4864" i="2"/>
  <c r="AF4865" i="2"/>
  <c r="AK4865" i="2"/>
  <c r="AG4865" i="2"/>
  <c r="AH4865" i="2"/>
  <c r="AI4865" i="2"/>
  <c r="AJ4865" i="2"/>
  <c r="AL4865" i="2"/>
  <c r="AF4866" i="2"/>
  <c r="AK4866" i="2" s="1"/>
  <c r="AG4866" i="2"/>
  <c r="AL4866" i="2" s="1"/>
  <c r="AH4866" i="2"/>
  <c r="AI4866" i="2"/>
  <c r="AJ4866" i="2"/>
  <c r="AF4867" i="2"/>
  <c r="AK4867" i="2"/>
  <c r="AG4867" i="2"/>
  <c r="AL4867" i="2" s="1"/>
  <c r="AH4867" i="2"/>
  <c r="AI4867" i="2"/>
  <c r="AJ4867" i="2"/>
  <c r="AF4868" i="2"/>
  <c r="AK4868" i="2"/>
  <c r="AG4868" i="2"/>
  <c r="AH4868" i="2"/>
  <c r="AI4868" i="2"/>
  <c r="AJ4868" i="2"/>
  <c r="AF4869" i="2"/>
  <c r="AK4869" i="2" s="1"/>
  <c r="AL4869" i="2" s="1"/>
  <c r="AG4869" i="2"/>
  <c r="AH4869" i="2"/>
  <c r="AI4869" i="2"/>
  <c r="AJ4869" i="2"/>
  <c r="AF4870" i="2"/>
  <c r="AK4870" i="2"/>
  <c r="AG4870" i="2"/>
  <c r="AH4870" i="2"/>
  <c r="AL4870" i="2"/>
  <c r="AI4870" i="2"/>
  <c r="AJ4870" i="2"/>
  <c r="AF4871" i="2"/>
  <c r="AK4871" i="2" s="1"/>
  <c r="AG4871" i="2"/>
  <c r="AH4871" i="2"/>
  <c r="AI4871" i="2"/>
  <c r="AL4871" i="2" s="1"/>
  <c r="AJ4871" i="2"/>
  <c r="AF4872" i="2"/>
  <c r="AK4872" i="2"/>
  <c r="AG4872" i="2"/>
  <c r="AH4872" i="2"/>
  <c r="AI4872" i="2"/>
  <c r="AJ4872" i="2"/>
  <c r="AF4873" i="2"/>
  <c r="AK4873" i="2" s="1"/>
  <c r="AL4873" i="2" s="1"/>
  <c r="AG4873" i="2"/>
  <c r="AH4873" i="2"/>
  <c r="AI4873" i="2"/>
  <c r="AJ4873" i="2"/>
  <c r="AF4874" i="2"/>
  <c r="AK4874" i="2"/>
  <c r="AG4874" i="2"/>
  <c r="AH4874" i="2"/>
  <c r="AI4874" i="2"/>
  <c r="AJ4874" i="2"/>
  <c r="AF4875" i="2"/>
  <c r="AK4875" i="2"/>
  <c r="AG4875" i="2"/>
  <c r="AH4875" i="2"/>
  <c r="AL4875" i="2" s="1"/>
  <c r="AI4875" i="2"/>
  <c r="AJ4875" i="2"/>
  <c r="AF4876" i="2"/>
  <c r="AK4876" i="2" s="1"/>
  <c r="AG4876" i="2"/>
  <c r="AH4876" i="2"/>
  <c r="AI4876" i="2"/>
  <c r="AL4876" i="2" s="1"/>
  <c r="AJ4876" i="2"/>
  <c r="AF4877" i="2"/>
  <c r="AG4877" i="2"/>
  <c r="AH4877" i="2"/>
  <c r="AI4877" i="2"/>
  <c r="AJ4877" i="2"/>
  <c r="AK4877" i="2"/>
  <c r="AF4878" i="2"/>
  <c r="AK4878" i="2" s="1"/>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c r="AG4885" i="2"/>
  <c r="AL4885" i="2" s="1"/>
  <c r="AH4885" i="2"/>
  <c r="AI4885" i="2"/>
  <c r="AJ4885" i="2"/>
  <c r="AF4886" i="2"/>
  <c r="AK4886" i="2"/>
  <c r="AG4886" i="2"/>
  <c r="AH4886" i="2"/>
  <c r="AL4886" i="2" s="1"/>
  <c r="AI4886" i="2"/>
  <c r="AJ4886" i="2"/>
  <c r="AF4887" i="2"/>
  <c r="AK4887" i="2" s="1"/>
  <c r="AG4887" i="2"/>
  <c r="AH4887" i="2"/>
  <c r="AI4887" i="2"/>
  <c r="AJ4887" i="2"/>
  <c r="AF4888" i="2"/>
  <c r="AK4888" i="2" s="1"/>
  <c r="AG4888" i="2"/>
  <c r="AH4888" i="2"/>
  <c r="AI4888" i="2"/>
  <c r="AJ4888" i="2"/>
  <c r="AF4889" i="2"/>
  <c r="AK4889" i="2"/>
  <c r="AG4889" i="2"/>
  <c r="AH4889" i="2"/>
  <c r="AI4889" i="2"/>
  <c r="AJ4889" i="2"/>
  <c r="AF4890" i="2"/>
  <c r="AK4890" i="2" s="1"/>
  <c r="AG4890" i="2"/>
  <c r="AH4890" i="2"/>
  <c r="AI4890" i="2"/>
  <c r="AJ4890" i="2"/>
  <c r="AF4891" i="2"/>
  <c r="AK4891" i="2"/>
  <c r="AL4891" i="2"/>
  <c r="AG4891" i="2"/>
  <c r="AH4891" i="2"/>
  <c r="AI4891" i="2"/>
  <c r="AJ4891" i="2"/>
  <c r="AF4892" i="2"/>
  <c r="AK4892" i="2" s="1"/>
  <c r="AG4892" i="2"/>
  <c r="AL4892" i="2" s="1"/>
  <c r="AH4892" i="2"/>
  <c r="AI4892" i="2"/>
  <c r="AJ4892" i="2"/>
  <c r="AF4893" i="2"/>
  <c r="AK4893" i="2" s="1"/>
  <c r="AG4893" i="2"/>
  <c r="AH4893" i="2"/>
  <c r="AI4893" i="2"/>
  <c r="AJ4893" i="2"/>
  <c r="AF4894" i="2"/>
  <c r="AK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F4899" i="2"/>
  <c r="AK4899" i="2" s="1"/>
  <c r="AG4899" i="2"/>
  <c r="AH4899" i="2"/>
  <c r="AI4899" i="2"/>
  <c r="AJ4899" i="2"/>
  <c r="AL4899" i="2" s="1"/>
  <c r="AF4900" i="2"/>
  <c r="AK4900" i="2"/>
  <c r="AG4900" i="2"/>
  <c r="AH4900" i="2"/>
  <c r="AI4900" i="2"/>
  <c r="AJ4900" i="2"/>
  <c r="AF4901" i="2"/>
  <c r="AK4901" i="2"/>
  <c r="AG4901" i="2"/>
  <c r="AH4901" i="2"/>
  <c r="AI4901" i="2"/>
  <c r="AJ4901" i="2"/>
  <c r="AF4902" i="2"/>
  <c r="AK4902" i="2"/>
  <c r="AG4902" i="2"/>
  <c r="AH4902" i="2"/>
  <c r="AI4902" i="2"/>
  <c r="AJ4902" i="2"/>
  <c r="AF4903" i="2"/>
  <c r="AK4903" i="2" s="1"/>
  <c r="AG4903" i="2"/>
  <c r="AH4903" i="2"/>
  <c r="AI4903" i="2"/>
  <c r="AJ4903" i="2"/>
  <c r="AF4904" i="2"/>
  <c r="AK4904" i="2" s="1"/>
  <c r="AG4904" i="2"/>
  <c r="AH4904" i="2"/>
  <c r="AI4904" i="2"/>
  <c r="AJ4904" i="2"/>
  <c r="AF4905" i="2"/>
  <c r="AK4905" i="2"/>
  <c r="AL4905" i="2" s="1"/>
  <c r="AG4905" i="2"/>
  <c r="AH4905" i="2"/>
  <c r="AI4905" i="2"/>
  <c r="AJ4905" i="2"/>
  <c r="AF4906" i="2"/>
  <c r="AK4906" i="2"/>
  <c r="AG4906" i="2"/>
  <c r="AH4906" i="2"/>
  <c r="AL4906" i="2" s="1"/>
  <c r="AI4906" i="2"/>
  <c r="AJ4906" i="2"/>
  <c r="AF4907" i="2"/>
  <c r="AK4907" i="2" s="1"/>
  <c r="AG4907" i="2"/>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L4913" i="2" s="1"/>
  <c r="AJ4913" i="2"/>
  <c r="AF4914" i="2"/>
  <c r="AK4914" i="2"/>
  <c r="AG4914" i="2"/>
  <c r="AH4914" i="2"/>
  <c r="AI4914" i="2"/>
  <c r="AJ4914" i="2"/>
  <c r="AF4915" i="2"/>
  <c r="AK4915" i="2" s="1"/>
  <c r="AG4915" i="2"/>
  <c r="AH4915" i="2"/>
  <c r="AI4915" i="2"/>
  <c r="AJ4915" i="2"/>
  <c r="AF4916" i="2"/>
  <c r="AK4916" i="2"/>
  <c r="AG4916" i="2"/>
  <c r="AL4916" i="2" s="1"/>
  <c r="AH4916" i="2"/>
  <c r="AI4916" i="2"/>
  <c r="AJ4916" i="2"/>
  <c r="AF4917" i="2"/>
  <c r="AK4917" i="2"/>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L4924" i="2" s="1"/>
  <c r="AF4925" i="2"/>
  <c r="AK4925" i="2" s="1"/>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G4929" i="2"/>
  <c r="AH4929" i="2"/>
  <c r="AI4929" i="2"/>
  <c r="AJ4929" i="2"/>
  <c r="AF4930" i="2"/>
  <c r="AK4930" i="2" s="1"/>
  <c r="AG4930" i="2"/>
  <c r="AL4930" i="2" s="1"/>
  <c r="AH4930" i="2"/>
  <c r="AI4930" i="2"/>
  <c r="AJ4930" i="2"/>
  <c r="AF4931" i="2"/>
  <c r="AK4931" i="2"/>
  <c r="AG4931" i="2"/>
  <c r="AH4931" i="2"/>
  <c r="AI4931" i="2"/>
  <c r="AJ4931" i="2"/>
  <c r="AF4932" i="2"/>
  <c r="AK4932" i="2" s="1"/>
  <c r="AG4932" i="2"/>
  <c r="AH4932" i="2"/>
  <c r="AI4932" i="2"/>
  <c r="AL4932" i="2" s="1"/>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L4938" i="2" s="1"/>
  <c r="AF4939" i="2"/>
  <c r="AK4939" i="2"/>
  <c r="AG4939" i="2"/>
  <c r="AH4939" i="2"/>
  <c r="AI4939" i="2"/>
  <c r="AJ4939" i="2"/>
  <c r="AF4940" i="2"/>
  <c r="AK4940" i="2"/>
  <c r="AG4940" i="2"/>
  <c r="AH4940" i="2"/>
  <c r="AI4940" i="2"/>
  <c r="AJ4940" i="2"/>
  <c r="AF4941" i="2"/>
  <c r="AK4941" i="2"/>
  <c r="AG4941" i="2"/>
  <c r="AH4941" i="2"/>
  <c r="AI4941" i="2"/>
  <c r="AJ4941" i="2"/>
  <c r="AF4942" i="2"/>
  <c r="AK4942" i="2" s="1"/>
  <c r="AG4942" i="2"/>
  <c r="AL4942" i="2"/>
  <c r="AH4942" i="2"/>
  <c r="AI4942" i="2"/>
  <c r="AJ4942" i="2"/>
  <c r="AF4943" i="2"/>
  <c r="AK4943" i="2"/>
  <c r="AG4943" i="2"/>
  <c r="AH4943" i="2"/>
  <c r="AI4943" i="2"/>
  <c r="AJ4943" i="2"/>
  <c r="AF4944" i="2"/>
  <c r="AK4944" i="2" s="1"/>
  <c r="AG4944" i="2"/>
  <c r="AH4944" i="2"/>
  <c r="AI4944" i="2"/>
  <c r="AJ4944" i="2"/>
  <c r="AF4945" i="2"/>
  <c r="AK4945" i="2" s="1"/>
  <c r="AG4945" i="2"/>
  <c r="AL4945" i="2" s="1"/>
  <c r="AH4945" i="2"/>
  <c r="AI4945" i="2"/>
  <c r="AJ4945" i="2"/>
  <c r="AF4946" i="2"/>
  <c r="AK4946" i="2"/>
  <c r="AL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s="1"/>
  <c r="AG4949" i="2"/>
  <c r="AH4949" i="2"/>
  <c r="AI4949" i="2"/>
  <c r="AJ4949" i="2"/>
  <c r="AL4949" i="2" s="1"/>
  <c r="AF4950" i="2"/>
  <c r="AK4950" i="2"/>
  <c r="AG4950" i="2"/>
  <c r="AH4950" i="2"/>
  <c r="AI4950" i="2"/>
  <c r="AJ4950" i="2"/>
  <c r="AF4951" i="2"/>
  <c r="AK4951" i="2" s="1"/>
  <c r="AG4951" i="2"/>
  <c r="AL4951" i="2" s="1"/>
  <c r="AH4951" i="2"/>
  <c r="AI4951" i="2"/>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L4957" i="2" s="1"/>
  <c r="AJ4957" i="2"/>
  <c r="AF4958" i="2"/>
  <c r="AK4958" i="2"/>
  <c r="AG4958" i="2"/>
  <c r="AH4958" i="2"/>
  <c r="AI4958" i="2"/>
  <c r="AJ4958" i="2"/>
  <c r="AF4959" i="2"/>
  <c r="AK4959" i="2" s="1"/>
  <c r="AG4959" i="2"/>
  <c r="AH4959" i="2"/>
  <c r="AI4959" i="2"/>
  <c r="AJ4959" i="2"/>
  <c r="AF4960" i="2"/>
  <c r="AK4960" i="2" s="1"/>
  <c r="AG4960" i="2"/>
  <c r="AH4960" i="2"/>
  <c r="AI4960" i="2"/>
  <c r="AJ4960" i="2"/>
  <c r="AF4961" i="2"/>
  <c r="AK4961" i="2"/>
  <c r="AG4961" i="2"/>
  <c r="AH4961" i="2"/>
  <c r="AI4961" i="2"/>
  <c r="AJ4961" i="2"/>
  <c r="AF4962" i="2"/>
  <c r="AK4962" i="2"/>
  <c r="AG4962" i="2"/>
  <c r="AH4962" i="2"/>
  <c r="AL4962" i="2"/>
  <c r="AI4962" i="2"/>
  <c r="AJ4962" i="2"/>
  <c r="AF4963" i="2"/>
  <c r="AK4963" i="2"/>
  <c r="AG4963" i="2"/>
  <c r="AH4963" i="2"/>
  <c r="AI4963" i="2"/>
  <c r="AJ4963" i="2"/>
  <c r="AF4964" i="2"/>
  <c r="AK4964" i="2" s="1"/>
  <c r="AG4964" i="2"/>
  <c r="AH4964" i="2"/>
  <c r="AI4964" i="2"/>
  <c r="AJ4964" i="2"/>
  <c r="AF4965" i="2"/>
  <c r="AK4965" i="2" s="1"/>
  <c r="AG4965" i="2"/>
  <c r="AH4965" i="2"/>
  <c r="AI4965" i="2"/>
  <c r="AJ4965" i="2"/>
  <c r="AF4966" i="2"/>
  <c r="AK4966" i="2"/>
  <c r="AG4966" i="2"/>
  <c r="AH4966" i="2"/>
  <c r="AL4966" i="2" s="1"/>
  <c r="AI4966" i="2"/>
  <c r="AJ4966" i="2"/>
  <c r="AF4967" i="2"/>
  <c r="AK4967" i="2" s="1"/>
  <c r="AG4967" i="2"/>
  <c r="AL4967" i="2" s="1"/>
  <c r="AH4967" i="2"/>
  <c r="AI4967" i="2"/>
  <c r="AJ4967" i="2"/>
  <c r="AF4968" i="2"/>
  <c r="AK4968" i="2"/>
  <c r="AG4968" i="2"/>
  <c r="AH4968" i="2"/>
  <c r="AL4968" i="2" s="1"/>
  <c r="AI4968" i="2"/>
  <c r="AJ4968" i="2"/>
  <c r="AF4969" i="2"/>
  <c r="AK4969" i="2" s="1"/>
  <c r="AL4969" i="2" s="1"/>
  <c r="AG4969" i="2"/>
  <c r="AH4969" i="2"/>
  <c r="AI4969" i="2"/>
  <c r="AJ4969" i="2"/>
  <c r="AF4970" i="2"/>
  <c r="AK4970" i="2"/>
  <c r="AG4970" i="2"/>
  <c r="AH4970" i="2"/>
  <c r="AI4970" i="2"/>
  <c r="AJ4970" i="2"/>
  <c r="AF4971" i="2"/>
  <c r="AK4971" i="2" s="1"/>
  <c r="AG4971" i="2"/>
  <c r="AL4971" i="2" s="1"/>
  <c r="AH4971" i="2"/>
  <c r="AI4971" i="2"/>
  <c r="AJ4971" i="2"/>
  <c r="AF4972" i="2"/>
  <c r="AK4972" i="2" s="1"/>
  <c r="AG4972" i="2"/>
  <c r="AH4972" i="2"/>
  <c r="AI4972" i="2"/>
  <c r="AJ4972" i="2"/>
  <c r="AF4973" i="2"/>
  <c r="AK4973" i="2"/>
  <c r="AG4973" i="2"/>
  <c r="AL4973" i="2" s="1"/>
  <c r="AH4973" i="2"/>
  <c r="AI4973" i="2"/>
  <c r="AJ4973" i="2"/>
  <c r="AF4974" i="2"/>
  <c r="AK4974" i="2"/>
  <c r="AG4974" i="2"/>
  <c r="AH4974" i="2"/>
  <c r="AI4974" i="2"/>
  <c r="AL4974" i="2" s="1"/>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c r="AG4981" i="2"/>
  <c r="AH4981" i="2"/>
  <c r="AI4981" i="2"/>
  <c r="AJ4981" i="2"/>
  <c r="AF4982" i="2"/>
  <c r="AK4982" i="2"/>
  <c r="AG4982" i="2"/>
  <c r="AL4982" i="2" s="1"/>
  <c r="AH4982" i="2"/>
  <c r="AI4982" i="2"/>
  <c r="AJ4982" i="2"/>
  <c r="AF4983" i="2"/>
  <c r="AK4983" i="2"/>
  <c r="AG4983" i="2"/>
  <c r="AH4983" i="2"/>
  <c r="AI4983" i="2"/>
  <c r="AJ4983" i="2"/>
  <c r="AF4984" i="2"/>
  <c r="AK4984" i="2" s="1"/>
  <c r="AG4984" i="2"/>
  <c r="AL4984" i="2" s="1"/>
  <c r="AH4984" i="2"/>
  <c r="AI4984" i="2"/>
  <c r="AJ4984" i="2"/>
  <c r="AF4985" i="2"/>
  <c r="AK4985" i="2"/>
  <c r="AG4985" i="2"/>
  <c r="AH4985" i="2"/>
  <c r="AL4985" i="2" s="1"/>
  <c r="AI4985" i="2"/>
  <c r="AJ4985" i="2"/>
  <c r="AF4986" i="2"/>
  <c r="AK4986" i="2" s="1"/>
  <c r="AG4986" i="2"/>
  <c r="AH4986" i="2"/>
  <c r="AI4986" i="2"/>
  <c r="AJ4986" i="2"/>
  <c r="AL4986" i="2" s="1"/>
  <c r="AF4987" i="2"/>
  <c r="AK4987" i="2"/>
  <c r="AL4987" i="2" s="1"/>
  <c r="AG4987" i="2"/>
  <c r="AH4987" i="2"/>
  <c r="AI4987" i="2"/>
  <c r="AJ4987" i="2"/>
  <c r="AF4988" i="2"/>
  <c r="AK4988" i="2" s="1"/>
  <c r="AG4988" i="2"/>
  <c r="AH4988" i="2"/>
  <c r="AI4988" i="2"/>
  <c r="AJ4988" i="2"/>
  <c r="AF4989" i="2"/>
  <c r="AK4989" i="2" s="1"/>
  <c r="AG4989" i="2"/>
  <c r="AH4989" i="2"/>
  <c r="AL4989" i="2" s="1"/>
  <c r="AI4989" i="2"/>
  <c r="AJ4989" i="2"/>
  <c r="AF4990" i="2"/>
  <c r="AK4990" i="2" s="1"/>
  <c r="AG4990" i="2"/>
  <c r="AH4990" i="2"/>
  <c r="AI4990" i="2"/>
  <c r="AJ4990" i="2"/>
  <c r="AF4991" i="2"/>
  <c r="AK4991" i="2"/>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J4994" i="2"/>
  <c r="AF4995" i="2"/>
  <c r="AK4995" i="2"/>
  <c r="AL4995" i="2"/>
  <c r="AG4995" i="2"/>
  <c r="AH4995" i="2"/>
  <c r="AI4995" i="2"/>
  <c r="AJ4995" i="2"/>
  <c r="AF4996" i="2"/>
  <c r="AK4996" i="2" s="1"/>
  <c r="AL4996" i="2" s="1"/>
  <c r="AG4996" i="2"/>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07" i="2"/>
  <c r="AL3251" i="2"/>
  <c r="AL3544" i="2"/>
  <c r="AL3315" i="2"/>
  <c r="AL3737" i="2"/>
  <c r="AL3722" i="2"/>
  <c r="AL3705" i="2"/>
  <c r="AL3634" i="2"/>
  <c r="AL3557" i="2"/>
  <c r="AL3426" i="2"/>
  <c r="AL2072" i="2"/>
  <c r="AL3602" i="2"/>
  <c r="AL3664" i="2"/>
  <c r="AL3651" i="2"/>
  <c r="AL3632" i="2"/>
  <c r="AL3600" i="2"/>
  <c r="AL3587" i="2"/>
  <c r="AL3536" i="2"/>
  <c r="AL3512" i="2"/>
  <c r="AL3459" i="2"/>
  <c r="AL3448" i="2"/>
  <c r="AL3395" i="2"/>
  <c r="AL3384" i="2"/>
  <c r="AL3331" i="2"/>
  <c r="AL3267" i="2"/>
  <c r="AL3256" i="2"/>
  <c r="AL3203" i="2"/>
  <c r="AL3192" i="2"/>
  <c r="AL3639" i="2"/>
  <c r="AL3607" i="2"/>
  <c r="AL3575" i="2"/>
  <c r="AL3543" i="2"/>
  <c r="AL3495" i="2"/>
  <c r="AL3483"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200" i="2"/>
  <c r="AL3159"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375" i="2"/>
  <c r="AL3311" i="2"/>
  <c r="AL3299" i="2"/>
  <c r="AL3288" i="2"/>
  <c r="AL3247" i="2"/>
  <c r="AL3235" i="2"/>
  <c r="AL3224" i="2"/>
  <c r="AL3183" i="2"/>
  <c r="AL3167" i="2"/>
  <c r="AL3152" i="2"/>
  <c r="AL3144" i="2"/>
  <c r="AL3136" i="2"/>
  <c r="AL3128" i="2"/>
  <c r="AL3120" i="2"/>
  <c r="AL3104"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24" i="2"/>
  <c r="AL2408" i="2"/>
  <c r="AL2400" i="2"/>
  <c r="AL2392" i="2"/>
  <c r="AL2360" i="2"/>
  <c r="AL3615" i="2"/>
  <c r="AL3583" i="2"/>
  <c r="AL3551" i="2"/>
  <c r="AL3456" i="2"/>
  <c r="AL3403" i="2"/>
  <c r="AL3392" i="2"/>
  <c r="AL3171" i="2"/>
  <c r="AL3151" i="2"/>
  <c r="AL3119" i="2"/>
  <c r="AL3095" i="2"/>
  <c r="AL3087" i="2"/>
  <c r="AL3039" i="2"/>
  <c r="AL3031" i="2"/>
  <c r="AL2991" i="2"/>
  <c r="AL2959" i="2"/>
  <c r="AL2935" i="2"/>
  <c r="AL2847" i="2"/>
  <c r="AL2831" i="2"/>
  <c r="AL2807" i="2"/>
  <c r="AL3687" i="2"/>
  <c r="AL3655" i="2"/>
  <c r="AL3623" i="2"/>
  <c r="AL3559" i="2"/>
  <c r="AL3527" i="2"/>
  <c r="AL3504" i="2"/>
  <c r="AL3498" i="2"/>
  <c r="AL3463" i="2"/>
  <c r="AL3451" i="2"/>
  <c r="AL3434" i="2"/>
  <c r="AL3399" i="2"/>
  <c r="AL3387" i="2"/>
  <c r="AL3376" i="2"/>
  <c r="AL3370" i="2"/>
  <c r="AL3335" i="2"/>
  <c r="AL3323" i="2"/>
  <c r="AL3271" i="2"/>
  <c r="AL3259" i="2"/>
  <c r="AL3248" i="2"/>
  <c r="AL3242" i="2"/>
  <c r="AL3207" i="2"/>
  <c r="AL3195" i="2"/>
  <c r="AL3184"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69" i="2"/>
  <c r="AL3656" i="2"/>
  <c r="AL3650" i="2"/>
  <c r="AL3643" i="2"/>
  <c r="AL3637" i="2"/>
  <c r="AL3624" i="2"/>
  <c r="AL3618" i="2"/>
  <c r="AL3605" i="2"/>
  <c r="AL3592"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09" i="2"/>
  <c r="AL3401" i="2"/>
  <c r="AL3393" i="2"/>
  <c r="AL3377"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37" i="2"/>
  <c r="AL3121" i="2"/>
  <c r="AL3113" i="2"/>
  <c r="AL3105"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62" i="2"/>
  <c r="AL3454"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82" i="2"/>
  <c r="AL3174" i="2"/>
  <c r="AL3166" i="2"/>
  <c r="AL3150" i="2"/>
  <c r="AL3134"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38" i="2"/>
  <c r="AL2233" i="2"/>
  <c r="AL2227" i="2"/>
  <c r="AL2222" i="2"/>
  <c r="AL2217" i="2"/>
  <c r="AL2211" i="2"/>
  <c r="AL2206" i="2"/>
  <c r="AL2201" i="2"/>
  <c r="AL2195" i="2"/>
  <c r="AL2190" i="2"/>
  <c r="AL2179" i="2"/>
  <c r="AL2174" i="2"/>
  <c r="AL2163" i="2"/>
  <c r="AL2158" i="2"/>
  <c r="AL2147" i="2"/>
  <c r="AL2142" i="2"/>
  <c r="AL2131" i="2"/>
  <c r="AL2126" i="2"/>
  <c r="AL2115" i="2"/>
  <c r="AL2099" i="2"/>
  <c r="AL2094" i="2"/>
  <c r="AL2071" i="2"/>
  <c r="AL164" i="2"/>
  <c r="AL2401" i="2"/>
  <c r="AL2393" i="2"/>
  <c r="AL2385" i="2"/>
  <c r="AL1928"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37" i="2"/>
  <c r="AL2326" i="2"/>
  <c r="AL2321" i="2"/>
  <c r="AL2315" i="2"/>
  <c r="AL2310" i="2"/>
  <c r="AL2305" i="2"/>
  <c r="AL2299" i="2"/>
  <c r="AL2294" i="2"/>
  <c r="AL2289" i="2"/>
  <c r="AL2283" i="2"/>
  <c r="AL2278" i="2"/>
  <c r="AL2273" i="2"/>
  <c r="AL2267" i="2"/>
  <c r="AL2262" i="2"/>
  <c r="AL2257" i="2"/>
  <c r="AL2251"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59" i="2"/>
  <c r="AL2067" i="2"/>
  <c r="AL2055"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25" i="2"/>
  <c r="AL2017" i="2"/>
  <c r="AL2005" i="2"/>
  <c r="AL1987" i="2"/>
  <c r="AL1975" i="2"/>
  <c r="AL1958" i="2"/>
  <c r="AL1952" i="2"/>
  <c r="AL1941"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891" i="2"/>
  <c r="AL1875" i="2"/>
  <c r="AL1843" i="2"/>
  <c r="AL1827" i="2"/>
  <c r="AL1811" i="2"/>
  <c r="AL1795" i="2"/>
  <c r="AL1779" i="2"/>
  <c r="AL1763" i="2"/>
  <c r="AL1733" i="2"/>
  <c r="AL1713" i="2"/>
  <c r="AL1641" i="2"/>
  <c r="AL1602" i="2"/>
  <c r="AL1527" i="2"/>
  <c r="AL1442" i="2"/>
  <c r="AL2084" i="2"/>
  <c r="AL2076" i="2"/>
  <c r="AL2068" i="2"/>
  <c r="AL2060" i="2"/>
  <c r="AL2044" i="2"/>
  <c r="AL2036" i="2"/>
  <c r="AL2028" i="2"/>
  <c r="AL2020" i="2"/>
  <c r="AL2013" i="2"/>
  <c r="AL1995" i="2"/>
  <c r="AL1983" i="2"/>
  <c r="AL1960" i="2"/>
  <c r="AL1949" i="2"/>
  <c r="AL1931" i="2"/>
  <c r="AL1919" i="2"/>
  <c r="AL1909" i="2"/>
  <c r="AL1893" i="2"/>
  <c r="AL1887" i="2"/>
  <c r="AL1877" i="2"/>
  <c r="AL1871" i="2"/>
  <c r="AL1861" i="2"/>
  <c r="AL1855" i="2"/>
  <c r="AL1845" i="2"/>
  <c r="AL1839" i="2"/>
  <c r="AL1829" i="2"/>
  <c r="AL1823" i="2"/>
  <c r="AL1813" i="2"/>
  <c r="AL1807" i="2"/>
  <c r="AL1797" i="2"/>
  <c r="AL1791" i="2"/>
  <c r="AL1781" i="2"/>
  <c r="AL1775" i="2"/>
  <c r="AL1765" i="2"/>
  <c r="AL1759" i="2"/>
  <c r="AL1749" i="2"/>
  <c r="AL1653" i="2"/>
  <c r="AL1643" i="2"/>
  <c r="AL1623" i="2"/>
  <c r="AL1508" i="2"/>
  <c r="AL2078" i="2"/>
  <c r="AL2070" i="2"/>
  <c r="AL2062" i="2"/>
  <c r="AL2054" i="2"/>
  <c r="AL2046" i="2"/>
  <c r="AL2038" i="2"/>
  <c r="AL2030" i="2"/>
  <c r="AL2022" i="2"/>
  <c r="AL2014" i="2"/>
  <c r="AL2008" i="2"/>
  <c r="AL199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53" i="2"/>
  <c r="AL1747" i="2"/>
  <c r="AL1741" i="2"/>
  <c r="AL1731" i="2"/>
  <c r="AL1725" i="2"/>
  <c r="AL1715" i="2"/>
  <c r="AL1709" i="2"/>
  <c r="AL1699" i="2"/>
  <c r="AL1683" i="2"/>
  <c r="AL1677" i="2"/>
  <c r="AL1667" i="2"/>
  <c r="AL1661" i="2"/>
  <c r="AL1651" i="2"/>
  <c r="AL1645" i="2"/>
  <c r="AL1635" i="2"/>
  <c r="AL1592" i="2"/>
  <c r="AL1576" i="2"/>
  <c r="AL1514" i="2"/>
  <c r="AL1454" i="2"/>
  <c r="AL1312" i="2"/>
  <c r="AL2010" i="2"/>
  <c r="AL2002" i="2"/>
  <c r="AL1994" i="2"/>
  <c r="AL1986" i="2"/>
  <c r="AL1978" i="2"/>
  <c r="AL1962" i="2"/>
  <c r="AL1954" i="2"/>
  <c r="AL1946" i="2"/>
  <c r="AL1938" i="2"/>
  <c r="AL1930" i="2"/>
  <c r="AL1914" i="2"/>
  <c r="AL1898" i="2"/>
  <c r="AL1890" i="2"/>
  <c r="AL1882" i="2"/>
  <c r="AL1874" i="2"/>
  <c r="AL1866" i="2"/>
  <c r="AL1850" i="2"/>
  <c r="AL1834" i="2"/>
  <c r="AL1826" i="2"/>
  <c r="AL1810" i="2"/>
  <c r="AL1802" i="2"/>
  <c r="AL1794" i="2"/>
  <c r="AL1786" i="2"/>
  <c r="AL1770" i="2"/>
  <c r="AL1762" i="2"/>
  <c r="AL1754" i="2"/>
  <c r="AL1742" i="2"/>
  <c r="AL1726" i="2"/>
  <c r="AL1710" i="2"/>
  <c r="AL1694"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72" i="2"/>
  <c r="AL1764" i="2"/>
  <c r="AL1756" i="2"/>
  <c r="AL1626" i="2"/>
  <c r="AL1621" i="2"/>
  <c r="AL1594" i="2"/>
  <c r="AL1573" i="2"/>
  <c r="AL1562" i="2"/>
  <c r="AL1552" i="2"/>
  <c r="AL1536" i="2"/>
  <c r="AL1532" i="2"/>
  <c r="AL1506" i="2"/>
  <c r="AL1494" i="2"/>
  <c r="AL1489" i="2"/>
  <c r="AL1323" i="2"/>
  <c r="AL1195" i="2"/>
  <c r="AL1067" i="2"/>
  <c r="AL939" i="2"/>
  <c r="AL1910" i="2"/>
  <c r="AL1894" i="2"/>
  <c r="AL1886" i="2"/>
  <c r="AL1878" i="2"/>
  <c r="AL1870" i="2"/>
  <c r="AL1862" i="2"/>
  <c r="AL1854" i="2"/>
  <c r="AL1846" i="2"/>
  <c r="AL1838" i="2"/>
  <c r="AL1830" i="2"/>
  <c r="AL1822" i="2"/>
  <c r="AL1814" i="2"/>
  <c r="AL1806" i="2"/>
  <c r="AL1798" i="2"/>
  <c r="AL1790" i="2"/>
  <c r="AL1782" i="2"/>
  <c r="AL1774" i="2"/>
  <c r="AL1766" i="2"/>
  <c r="AL1750" i="2"/>
  <c r="AL1734" i="2"/>
  <c r="AL1718" i="2"/>
  <c r="AL1702" i="2"/>
  <c r="AL1686" i="2"/>
  <c r="AL1670" i="2"/>
  <c r="AL1654" i="2"/>
  <c r="AL1638" i="2"/>
  <c r="AL1628" i="2"/>
  <c r="AL1622" i="2"/>
  <c r="AL1616" i="2"/>
  <c r="AL1606" i="2"/>
  <c r="AL1543" i="2"/>
  <c r="AL1502" i="2"/>
  <c r="AL1743" i="2"/>
  <c r="AL1735" i="2"/>
  <c r="AL1727" i="2"/>
  <c r="AL1719" i="2"/>
  <c r="AL1711" i="2"/>
  <c r="AL1703" i="2"/>
  <c r="AL1687" i="2"/>
  <c r="AL1679"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88" i="2"/>
  <c r="AL1680"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37" i="2"/>
  <c r="AL711" i="2"/>
  <c r="AL1482" i="2"/>
  <c r="AL1476" i="2"/>
  <c r="AL1465" i="2"/>
  <c r="AL1418" i="2"/>
  <c r="AL1412" i="2"/>
  <c r="AL1401" i="2"/>
  <c r="AL1292" i="2"/>
  <c r="AL1276" i="2"/>
  <c r="AL1260" i="2"/>
  <c r="AL1244" i="2"/>
  <c r="AL1228" i="2"/>
  <c r="AL1212" i="2"/>
  <c r="AL1196" i="2"/>
  <c r="AL1180" i="2"/>
  <c r="AL1164" i="2"/>
  <c r="AL1148" i="2"/>
  <c r="AL1132" i="2"/>
  <c r="AL1100" i="2"/>
  <c r="AL1084" i="2"/>
  <c r="AL1068" i="2"/>
  <c r="AL1052" i="2"/>
  <c r="AL1036" i="2"/>
  <c r="AL1020" i="2"/>
  <c r="AL1004" i="2"/>
  <c r="AL988" i="2"/>
  <c r="AL972" i="2"/>
  <c r="AL956" i="2"/>
  <c r="AL940" i="2"/>
  <c r="AL924" i="2"/>
  <c r="AL908" i="2"/>
  <c r="AL892" i="2"/>
  <c r="AL876" i="2"/>
  <c r="AL856" i="2"/>
  <c r="AL752" i="2"/>
  <c r="AL720"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695" i="2"/>
  <c r="AL683" i="2"/>
  <c r="AL855" i="2"/>
  <c r="AL847" i="2"/>
  <c r="AL839" i="2"/>
  <c r="AL831" i="2"/>
  <c r="AL823" i="2"/>
  <c r="AL815" i="2"/>
  <c r="AL807" i="2"/>
  <c r="AL799" i="2"/>
  <c r="AL791" i="2"/>
  <c r="AL783" i="2"/>
  <c r="AL775" i="2"/>
  <c r="AL767" i="2"/>
  <c r="AL760" i="2"/>
  <c r="AL725" i="2"/>
  <c r="AL719" i="2"/>
  <c r="AL707" i="2"/>
  <c r="AL696" i="2"/>
  <c r="AL663" i="2"/>
  <c r="AL647" i="2"/>
  <c r="AL639" i="2"/>
  <c r="AL631" i="2"/>
  <c r="AL623" i="2"/>
  <c r="AL615" i="2"/>
  <c r="AL607" i="2"/>
  <c r="AL599" i="2"/>
  <c r="AL591" i="2"/>
  <c r="AL583"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80" i="2"/>
  <c r="AL859" i="2"/>
  <c r="AL851" i="2"/>
  <c r="AL843" i="2"/>
  <c r="AL835" i="2"/>
  <c r="AL827" i="2"/>
  <c r="AL819" i="2"/>
  <c r="AL811" i="2"/>
  <c r="AL803" i="2"/>
  <c r="AL795" i="2"/>
  <c r="AL787" i="2"/>
  <c r="AL779" i="2"/>
  <c r="AL771" i="2"/>
  <c r="AL763" i="2"/>
  <c r="AL751" i="2"/>
  <c r="AL745" i="2"/>
  <c r="AL739" i="2"/>
  <c r="AL728" i="2"/>
  <c r="AL667"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66"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0"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86" i="2"/>
  <c r="AL78" i="2"/>
  <c r="AL87" i="2"/>
  <c r="AL79" i="2"/>
  <c r="AL89" i="2"/>
  <c r="AL81" i="2"/>
  <c r="AL75" i="2"/>
  <c r="AL59" i="2"/>
  <c r="AM59" i="2" s="1"/>
  <c r="AL51" i="2"/>
  <c r="AM51" i="2" s="1"/>
  <c r="AM16" i="2"/>
  <c r="AM15" i="2"/>
  <c r="AL4796" i="2"/>
  <c r="AL4943" i="2"/>
  <c r="AL4551" i="2"/>
  <c r="AL4512" i="2"/>
  <c r="AL4351" i="2"/>
  <c r="AL4509" i="2"/>
  <c r="AL4665" i="2"/>
  <c r="AL4329" i="2"/>
  <c r="AL4268" i="2"/>
  <c r="AL4149" i="2"/>
  <c r="AL4136" i="2"/>
  <c r="AL4092" i="2"/>
  <c r="AL4085" i="2"/>
  <c r="AL4062" i="2"/>
  <c r="AL4395" i="2"/>
  <c r="AL4387" i="2"/>
  <c r="AL4337" i="2"/>
  <c r="AL4293" i="2"/>
  <c r="AL4368" i="2"/>
  <c r="AL4341" i="2"/>
  <c r="AL4331" i="2"/>
  <c r="AL4308" i="2"/>
  <c r="AL4291" i="2"/>
  <c r="AL4263" i="2"/>
  <c r="AL4239" i="2"/>
  <c r="AL4235" i="2"/>
  <c r="AL4197" i="2"/>
  <c r="AL4184" i="2"/>
  <c r="AL4175" i="2"/>
  <c r="AL4140" i="2"/>
  <c r="AL4133" i="2"/>
  <c r="AL4120" i="2"/>
  <c r="AL4069" i="2"/>
  <c r="AL4032" i="2"/>
  <c r="AL4027" i="2"/>
  <c r="AL4012" i="2"/>
  <c r="AL3996" i="2"/>
  <c r="AL3980" i="2"/>
  <c r="AL4353" i="2"/>
  <c r="AL4339" i="2"/>
  <c r="AL4312" i="2"/>
  <c r="AL4144" i="2"/>
  <c r="AL4137" i="2"/>
  <c r="AL4049" i="2"/>
  <c r="AL4028" i="2"/>
  <c r="AL4417" i="2"/>
  <c r="AL4392" i="2"/>
  <c r="AL4357" i="2"/>
  <c r="AL4316" i="2"/>
  <c r="AL4299" i="2"/>
  <c r="AL4273" i="2"/>
  <c r="AL4245" i="2"/>
  <c r="AL4232" i="2"/>
  <c r="AL4223" i="2"/>
  <c r="AL4188" i="2"/>
  <c r="AL4181" i="2"/>
  <c r="AL4159" i="2"/>
  <c r="AL4124" i="2"/>
  <c r="AL4104" i="2"/>
  <c r="AL4095" i="2"/>
  <c r="AL4016" i="2"/>
  <c r="AL4000" i="2"/>
  <c r="AL3984" i="2"/>
  <c r="AL4369" i="2"/>
  <c r="AL4355" i="2"/>
  <c r="AL4247" i="2"/>
  <c r="AL4243" i="2"/>
  <c r="AL4185" i="2"/>
  <c r="AL4183" i="2"/>
  <c r="AL4179" i="2"/>
  <c r="AL4121" i="2"/>
  <c r="AL4119" i="2"/>
  <c r="AL4115" i="2"/>
  <c r="AL4040" i="2"/>
  <c r="AL4401" i="2"/>
  <c r="AL4363" i="2"/>
  <c r="AL4336" i="2"/>
  <c r="AL4313" i="2"/>
  <c r="AL4307"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88" i="2"/>
  <c r="AL3759" i="2"/>
  <c r="AL3733" i="2"/>
  <c r="AL3719" i="2"/>
  <c r="AL3698" i="2"/>
  <c r="AL3658" i="2"/>
  <c r="AL3471" i="2"/>
  <c r="AL3450" i="2"/>
  <c r="AL3298" i="2"/>
  <c r="AL3890" i="2"/>
  <c r="AL3511" i="2"/>
  <c r="AL4058" i="2"/>
  <c r="AL4042" i="2"/>
  <c r="AL4026" i="2"/>
  <c r="AL3954" i="2"/>
  <c r="AL3913" i="2"/>
  <c r="AL3909" i="2"/>
  <c r="AL3894" i="2"/>
  <c r="AL3857" i="2"/>
  <c r="AL3850" i="2"/>
  <c r="AL3837" i="2"/>
  <c r="AL3830" i="2"/>
  <c r="AL3828" i="2"/>
  <c r="AL3781" i="2"/>
  <c r="AL3731" i="2"/>
  <c r="AL3707" i="2"/>
  <c r="AL3704" i="2"/>
  <c r="AL3645" i="2"/>
  <c r="AL3263" i="2"/>
  <c r="AL3194" i="2"/>
  <c r="AL3962" i="2"/>
  <c r="AL3921" i="2"/>
  <c r="AL3917" i="2"/>
  <c r="AL3898" i="2"/>
  <c r="AL3861" i="2"/>
  <c r="AL3817" i="2"/>
  <c r="AL3797" i="2"/>
  <c r="AL3742" i="2"/>
  <c r="AL3724" i="2"/>
  <c r="AL3708" i="2"/>
  <c r="AL3663" i="2"/>
  <c r="AL3621" i="2"/>
  <c r="AL3599" i="2"/>
  <c r="AL4054" i="2"/>
  <c r="AL4038" i="2"/>
  <c r="AL4022" i="2"/>
  <c r="AL4018" i="2"/>
  <c r="AL4014" i="2"/>
  <c r="AL4010" i="2"/>
  <c r="AL4006" i="2"/>
  <c r="AL4002" i="2"/>
  <c r="AL3998" i="2"/>
  <c r="AL3994" i="2"/>
  <c r="AL3990" i="2"/>
  <c r="AL3982" i="2"/>
  <c r="AL3978" i="2"/>
  <c r="AL3974" i="2"/>
  <c r="AL3929" i="2"/>
  <c r="AL3906" i="2"/>
  <c r="AL3902" i="2"/>
  <c r="AL3878" i="2"/>
  <c r="AL3821" i="2"/>
  <c r="AL3814" i="2"/>
  <c r="AL3768" i="2"/>
  <c r="AL3490" i="2"/>
  <c r="AL3455" i="2"/>
  <c r="AL3371" i="2"/>
  <c r="AL3336" i="2"/>
  <c r="AL3937" i="2"/>
  <c r="AL3933" i="2"/>
  <c r="AL3914" i="2"/>
  <c r="AL3910" i="2"/>
  <c r="AL3908" i="2"/>
  <c r="AL3865" i="2"/>
  <c r="AL3845" i="2"/>
  <c r="AL3838" i="2"/>
  <c r="AL3836" i="2"/>
  <c r="AL3801" i="2"/>
  <c r="AL3784" i="2"/>
  <c r="AL3718" i="2"/>
  <c r="AL3565" i="2"/>
  <c r="AL3362" i="2"/>
  <c r="AL3296" i="2"/>
  <c r="AL3243" i="2"/>
  <c r="AL3199" i="2"/>
  <c r="AL4050" i="2"/>
  <c r="AL4034"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3" i="2"/>
  <c r="AL1879" i="2"/>
  <c r="AL1837" i="2"/>
  <c r="AL1831" i="2"/>
  <c r="AL2535" i="2"/>
  <c r="AL2525" i="2"/>
  <c r="AL2509" i="2"/>
  <c r="AL2493" i="2"/>
  <c r="AL2229" i="2"/>
  <c r="AL2200" i="2"/>
  <c r="AL2129" i="2"/>
  <c r="AL2104" i="2"/>
  <c r="AL2519" i="2"/>
  <c r="AL2503" i="2"/>
  <c r="AL2332" i="2"/>
  <c r="AL2212" i="2"/>
  <c r="AL2186"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085" i="2"/>
  <c r="AL1074" i="2"/>
  <c r="AL1379" i="2"/>
  <c r="AL1353" i="2"/>
  <c r="AL1337" i="2"/>
  <c r="AL1318" i="2"/>
  <c r="AL1286" i="2"/>
  <c r="AL1280" i="2"/>
  <c r="AL1273" i="2"/>
  <c r="AL1263" i="2"/>
  <c r="AL1255" i="2"/>
  <c r="AL1248" i="2"/>
  <c r="AL1219" i="2"/>
  <c r="AL1215" i="2"/>
  <c r="AL1200" i="2"/>
  <c r="AL1190" i="2"/>
  <c r="AL1186" i="2"/>
  <c r="AL1179" i="2"/>
  <c r="AL1161"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37" i="2"/>
  <c r="AL363" i="2"/>
  <c r="AL321"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5005" i="2"/>
  <c r="AL5049" i="2"/>
  <c r="AL5066" i="2"/>
  <c r="AL5132" i="2"/>
  <c r="AL5158" i="2"/>
  <c r="AL5190" i="2"/>
  <c r="AL4872" i="2"/>
  <c r="AL4759" i="2"/>
  <c r="AL4748" i="2"/>
  <c r="AL4720" i="2"/>
  <c r="AL4933" i="2"/>
  <c r="AL4558" i="2"/>
  <c r="AL4818" i="2"/>
  <c r="AL4583" i="2"/>
  <c r="AL4393" i="2"/>
  <c r="AL4272" i="2"/>
  <c r="AL4215" i="2"/>
  <c r="AL4169" i="2"/>
  <c r="AL4163" i="2"/>
  <c r="AL4157" i="2"/>
  <c r="AL4086" i="2"/>
  <c r="AL4051" i="2"/>
  <c r="AL3935" i="2"/>
  <c r="AL3897" i="2"/>
  <c r="AL3803" i="2"/>
  <c r="AL3776" i="2"/>
  <c r="AL4605" i="2"/>
  <c r="AL4573" i="2"/>
  <c r="AL4221" i="2"/>
  <c r="AL4151" i="2"/>
  <c r="AL4135" i="2"/>
  <c r="AL3862" i="2"/>
  <c r="AL4126" i="2"/>
  <c r="AL4624" i="2"/>
  <c r="AL4326" i="2"/>
  <c r="AL4658" i="2"/>
  <c r="AL4436" i="2"/>
  <c r="AL4226" i="2"/>
  <c r="AL4219" i="2"/>
  <c r="AL4193" i="2"/>
  <c r="AL4158" i="2"/>
  <c r="AL4130" i="2"/>
  <c r="AL3812" i="2"/>
  <c r="AL3777" i="2"/>
  <c r="AL4378" i="2"/>
  <c r="AL4314" i="2"/>
  <c r="AL4310" i="2"/>
  <c r="AL4266" i="2"/>
  <c r="AL4118" i="2"/>
  <c r="AL3973" i="2"/>
  <c r="AL4242" i="2"/>
  <c r="AL3940" i="2"/>
  <c r="AL3844" i="2"/>
  <c r="AL4300" i="2"/>
  <c r="AL4287" i="2"/>
  <c r="AL4283" i="2"/>
  <c r="AL4255" i="2"/>
  <c r="AL4251" i="2"/>
  <c r="AL4224" i="2"/>
  <c r="AL4211" i="2"/>
  <c r="AL3959" i="2"/>
  <c r="AL3782" i="2"/>
  <c r="AL3319" i="2"/>
  <c r="AL2971" i="2"/>
  <c r="AL4021" i="2"/>
  <c r="AL4013" i="2"/>
  <c r="AL3964" i="2"/>
  <c r="AL3960" i="2"/>
  <c r="AL3813" i="2"/>
  <c r="AL3720" i="2"/>
  <c r="AL2775" i="2"/>
  <c r="AL2711" i="2"/>
  <c r="AL2565" i="2"/>
  <c r="AL3840" i="2"/>
  <c r="AL3818" i="2"/>
  <c r="AL3734" i="2"/>
  <c r="AL3424" i="2"/>
  <c r="AL2979" i="2"/>
  <c r="AL2743" i="2"/>
  <c r="AL2615" i="2"/>
  <c r="AL2487" i="2"/>
  <c r="AL4041" i="2"/>
  <c r="AL3992" i="2"/>
  <c r="AL3922" i="2"/>
  <c r="AL3809" i="2"/>
  <c r="AL3739" i="2"/>
  <c r="AL3597" i="2"/>
  <c r="AL3418" i="2"/>
  <c r="AL3290" i="2"/>
  <c r="AL2583" i="2"/>
  <c r="AL2293" i="2"/>
  <c r="AL3958" i="2"/>
  <c r="AL3867" i="2"/>
  <c r="AL3841" i="2"/>
  <c r="AL3685" i="2"/>
  <c r="AL3629" i="2"/>
  <c r="AL2108" i="2"/>
  <c r="AL4023" i="2"/>
  <c r="AL4015" i="2"/>
  <c r="AL3819" i="2"/>
  <c r="AL2172" i="2"/>
  <c r="AL4068" i="2"/>
  <c r="AL3932" i="2"/>
  <c r="AL3846" i="2"/>
  <c r="AL372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485" i="2"/>
  <c r="AL1003" i="2"/>
  <c r="AL917" i="2"/>
  <c r="AL905" i="2"/>
  <c r="AL1037" i="2"/>
  <c r="AL1017" i="2"/>
  <c r="AL931" i="2"/>
  <c r="AL901" i="2"/>
  <c r="AL863" i="2"/>
  <c r="AL834" i="2"/>
  <c r="AL818" i="2"/>
  <c r="AL461" i="2"/>
  <c r="AL1047" i="2"/>
  <c r="AL1000" i="2"/>
  <c r="AL982" i="2"/>
  <c r="AL978" i="2"/>
  <c r="AL960" i="2"/>
  <c r="AL873" i="2"/>
  <c r="AL808"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752" i="2"/>
  <c r="AL4489" i="2"/>
  <c r="AL4324" i="2"/>
  <c r="AL4278" i="2"/>
  <c r="AL4225" i="2"/>
  <c r="AL4141" i="2"/>
  <c r="AL4908" i="2"/>
  <c r="AL4900" i="2"/>
  <c r="AL4816" i="2"/>
  <c r="AL4813" i="2"/>
  <c r="AL4599" i="2"/>
  <c r="AL4433" i="2"/>
  <c r="AL4303" i="2"/>
  <c r="AL3843" i="2"/>
  <c r="AL4824" i="2"/>
  <c r="AL4654" i="2"/>
  <c r="AL4528" i="2"/>
  <c r="AL4501" i="2"/>
  <c r="AL4493" i="2"/>
  <c r="AL4960" i="2"/>
  <c r="AL4756" i="2"/>
  <c r="AL4738" i="2"/>
  <c r="AL4734" i="2"/>
  <c r="AL4724" i="2"/>
  <c r="AL4644" i="2"/>
  <c r="AL4494" i="2"/>
  <c r="AL4454" i="2"/>
  <c r="AL4338" i="2"/>
  <c r="AL4007" i="2"/>
  <c r="AL3986" i="2"/>
  <c r="AL4804" i="2"/>
  <c r="AL4981" i="2"/>
  <c r="AL4877" i="2"/>
  <c r="AL4798" i="2"/>
  <c r="AL4736" i="2"/>
  <c r="AL4684" i="2"/>
  <c r="AL4633" i="2"/>
  <c r="AL4571" i="2"/>
  <c r="AL4549" i="2"/>
  <c r="AL4461" i="2"/>
  <c r="AL4439" i="2"/>
  <c r="AL4365" i="2"/>
  <c r="AL4330" i="2"/>
  <c r="AL4262" i="2"/>
  <c r="AL4166" i="2"/>
  <c r="AL3824" i="2"/>
  <c r="AL3659" i="2"/>
  <c r="AL4359" i="2"/>
  <c r="AL4342" i="2"/>
  <c r="AL4241" i="2"/>
  <c r="AL4238" i="2"/>
  <c r="AL4094" i="2"/>
  <c r="AL4017" i="2"/>
  <c r="AL4029" i="2"/>
  <c r="AL3887" i="2"/>
  <c r="AL3736" i="2"/>
  <c r="AL4343" i="2"/>
  <c r="AL4261" i="2"/>
  <c r="AL4091" i="2"/>
  <c r="AL4044" i="2"/>
  <c r="AL4033" i="2"/>
  <c r="AL3991" i="2"/>
  <c r="AL3904" i="2"/>
  <c r="AL3869" i="2"/>
  <c r="AL4327" i="2"/>
  <c r="AL4202" i="2"/>
  <c r="AL4098" i="2"/>
  <c r="AL3944" i="2"/>
  <c r="AL4410" i="2"/>
  <c r="AL4374" i="2"/>
  <c r="AL4348" i="2"/>
  <c r="AL4344" i="2"/>
  <c r="AL4317" i="2"/>
  <c r="AL4206" i="2"/>
  <c r="AL4189" i="2"/>
  <c r="AL4127" i="2"/>
  <c r="AL4003" i="2"/>
  <c r="AL3967" i="2"/>
  <c r="AL3934" i="2"/>
  <c r="AL3918" i="2"/>
  <c r="AL3785" i="2"/>
  <c r="AL4191" i="2"/>
  <c r="AL4187" i="2"/>
  <c r="AL4164" i="2"/>
  <c r="AL4128" i="2"/>
  <c r="AL4025" i="2"/>
  <c r="AL3919" i="2"/>
  <c r="AL3831" i="2"/>
  <c r="AL3811" i="2"/>
  <c r="AL3779" i="2"/>
  <c r="AL3772" i="2"/>
  <c r="AL3765" i="2"/>
  <c r="AL3747" i="2"/>
  <c r="AL3488" i="2"/>
  <c r="AL3322" i="2"/>
  <c r="AL4180" i="2"/>
  <c r="AL4176"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02" i="2"/>
  <c r="AL4057" i="2"/>
  <c r="AL3951" i="2"/>
  <c r="AL3931" i="2"/>
  <c r="AL3911" i="2"/>
  <c r="AL3907" i="2"/>
  <c r="AL3903" i="2"/>
  <c r="AL3889" i="2"/>
  <c r="AL3807" i="2"/>
  <c r="AL3793" i="2"/>
  <c r="AL3748" i="2"/>
  <c r="AL3745" i="2"/>
  <c r="AL3703" i="2"/>
  <c r="AL3690"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145" i="2"/>
  <c r="AL1888" i="2"/>
  <c r="AL2719" i="2"/>
  <c r="AL2695" i="2"/>
  <c r="AL2336" i="2"/>
  <c r="AL2192"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23" i="2"/>
  <c r="AL2137" i="2"/>
  <c r="AL1805" i="2"/>
  <c r="AL1739" i="2"/>
  <c r="AL1707" i="2"/>
  <c r="AL1681" i="2"/>
  <c r="AL1665" i="2"/>
  <c r="AL1441" i="2"/>
  <c r="AL1400" i="2"/>
  <c r="AL1394" i="2"/>
  <c r="AL2231" i="2"/>
  <c r="AL2043" i="2"/>
  <c r="AL1821" i="2"/>
  <c r="AL1757" i="2"/>
  <c r="AL1689" i="2"/>
  <c r="AL1612" i="2"/>
  <c r="AL1512" i="2"/>
  <c r="AL1425" i="2"/>
  <c r="AL1382" i="2"/>
  <c r="AL1376" i="2"/>
  <c r="AL1231" i="2"/>
  <c r="AL114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04" i="2"/>
  <c r="AL832" i="2"/>
  <c r="AL1456" i="2"/>
  <c r="AL1320" i="2"/>
  <c r="AL1302" i="2"/>
  <c r="AL1216" i="2"/>
  <c r="AL1209" i="2"/>
  <c r="AL1185" i="2"/>
  <c r="AL1113" i="2"/>
  <c r="AL1005" i="2"/>
  <c r="AL984" i="2"/>
  <c r="AL866" i="2"/>
  <c r="AL1079" i="2"/>
  <c r="AL1051" i="2"/>
  <c r="AL929" i="2"/>
  <c r="AL921" i="2"/>
  <c r="AL883" i="2"/>
  <c r="AL781" i="2"/>
  <c r="AL685" i="2"/>
  <c r="AL872"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15" i="2"/>
  <c r="AL4609" i="2"/>
  <c r="AL4587" i="2"/>
  <c r="AL4482" i="2"/>
  <c r="AL4398" i="2"/>
  <c r="AL4388" i="2"/>
  <c r="AL4920" i="2"/>
  <c r="AL4716" i="2"/>
  <c r="AL4601" i="2"/>
  <c r="AL4396" i="2"/>
  <c r="AL4952" i="2"/>
  <c r="AL4807" i="2"/>
  <c r="AL4332" i="2"/>
  <c r="AL4910" i="2"/>
  <c r="AL4750" i="2"/>
  <c r="AL4636" i="2"/>
  <c r="AL4617" i="2"/>
  <c r="AL4518" i="2"/>
  <c r="AL4979" i="2"/>
  <c r="AL4706" i="2"/>
  <c r="AL4629" i="2"/>
  <c r="AL4533" i="2"/>
  <c r="AL4334" i="2"/>
  <c r="AL4670" i="2"/>
  <c r="AL4931" i="2"/>
  <c r="AL4802" i="2"/>
  <c r="AL4688" i="2"/>
  <c r="AL4516" i="2"/>
  <c r="AL4503"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024" i="2"/>
  <c r="AL3952" i="2"/>
  <c r="AL3912" i="2"/>
  <c r="AL3833" i="2"/>
  <c r="AL3826" i="2"/>
  <c r="AL3715" i="2"/>
  <c r="AL3702" i="2"/>
  <c r="AL3640" i="2"/>
  <c r="AL3562" i="2"/>
  <c r="AL4441" i="2"/>
  <c r="AL4205" i="2"/>
  <c r="AL3997" i="2"/>
  <c r="AL3882" i="2"/>
  <c r="AL3876" i="2"/>
  <c r="AL3859"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01" i="2"/>
  <c r="AL3868" i="2"/>
  <c r="AL3847" i="2"/>
  <c r="AL3789" i="2"/>
  <c r="AL3732" i="2"/>
  <c r="AL3700" i="2"/>
  <c r="AL3317" i="2"/>
  <c r="AL3258" i="2"/>
  <c r="AL3249" i="2"/>
  <c r="AL2945" i="2"/>
  <c r="AL3355" i="2"/>
  <c r="AL3314"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10" i="2"/>
  <c r="AL4994" i="2"/>
  <c r="AL4955" i="2"/>
  <c r="AL4936" i="2"/>
  <c r="AL4914" i="2"/>
  <c r="AL4797" i="2"/>
  <c r="AL4649" i="2"/>
  <c r="AL4597" i="2"/>
  <c r="AL4890" i="2"/>
  <c r="AL4704" i="2"/>
  <c r="AL4853" i="2"/>
  <c r="AL4785" i="2"/>
  <c r="AL4895" i="2"/>
  <c r="AL4850" i="2"/>
  <c r="AL4964" i="2"/>
  <c r="AL4780" i="2"/>
  <c r="AL4545" i="2"/>
  <c r="AL4385" i="2"/>
  <c r="AL4418" i="2"/>
  <c r="AL4298" i="2"/>
  <c r="AL4083" i="2"/>
  <c r="AL4035" i="2"/>
  <c r="AL3999" i="2"/>
  <c r="AL3979" i="2"/>
  <c r="AL3969" i="2"/>
  <c r="AL3798" i="2"/>
  <c r="AL3744" i="2"/>
  <c r="AL3546" i="2"/>
  <c r="AL3523" i="2"/>
  <c r="AL4485" i="2"/>
  <c r="AL4366" i="2"/>
  <c r="AL4321" i="2"/>
  <c r="AL4167" i="2"/>
  <c r="AL4153" i="2"/>
  <c r="AL4110" i="2"/>
  <c r="AL4096" i="2"/>
  <c r="AL4328" i="2"/>
  <c r="AL4217" i="2"/>
  <c r="AL4030" i="2"/>
  <c r="AL3880" i="2"/>
  <c r="AL3877" i="2"/>
  <c r="AL3563" i="2"/>
  <c r="AL4399" i="2"/>
  <c r="AL4165" i="2"/>
  <c r="AL4134" i="2"/>
  <c r="AL4053" i="2"/>
  <c r="AL4037" i="2"/>
  <c r="AL3957" i="2"/>
  <c r="AL4379" i="2"/>
  <c r="AL4319" i="2"/>
  <c r="AL4315" i="2"/>
  <c r="AL4196" i="2"/>
  <c r="AL4074" i="2"/>
  <c r="AL3981" i="2"/>
  <c r="AL3888" i="2"/>
  <c r="AL3881" i="2"/>
  <c r="AL4496" i="2"/>
  <c r="AL4481" i="2"/>
  <c r="AL3321" i="2"/>
  <c r="AL3114" i="2"/>
  <c r="AL2915" i="2"/>
  <c r="AL2899" i="2"/>
  <c r="AL2811" i="2"/>
  <c r="AL3292" i="2"/>
  <c r="AL3115" i="2"/>
  <c r="AL3075" i="2"/>
  <c r="AL2819" i="2"/>
  <c r="AL3208" i="2"/>
  <c r="AL2948" i="2"/>
  <c r="AL2883" i="2"/>
  <c r="AL3533" i="2"/>
  <c r="AL3430" i="2"/>
  <c r="AL3209" i="2"/>
  <c r="AL3191"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677" i="2"/>
  <c r="AL4992" i="2"/>
  <c r="AL4929" i="2"/>
  <c r="AL4856" i="2"/>
  <c r="AL4840" i="2"/>
  <c r="AL4779" i="2"/>
  <c r="AL4733" i="2"/>
  <c r="AL4537" i="2"/>
  <c r="AL4515" i="2"/>
  <c r="AL4958" i="2"/>
  <c r="AL4926" i="2"/>
  <c r="AL4903" i="2"/>
  <c r="AL4896" i="2"/>
  <c r="AL4874" i="2"/>
  <c r="AL4836" i="2"/>
  <c r="AL4821" i="2"/>
  <c r="AL4817" i="2"/>
  <c r="AL4799" i="2"/>
  <c r="AL4730" i="2"/>
  <c r="AL4647" i="2"/>
  <c r="AL4588" i="2"/>
  <c r="AL4582" i="2"/>
  <c r="AL4997" i="2"/>
  <c r="AL4961" i="2"/>
  <c r="AL4944" i="2"/>
  <c r="AL4937" i="2"/>
  <c r="AL4923" i="2"/>
  <c r="AL4843" i="2"/>
  <c r="AL4811" i="2"/>
  <c r="AL4806" i="2"/>
  <c r="AL4789" i="2"/>
  <c r="AL4766" i="2"/>
  <c r="AL4751" i="2"/>
  <c r="AL4723" i="2"/>
  <c r="AL4604" i="2"/>
  <c r="AL4594" i="2"/>
  <c r="AL4506" i="2"/>
  <c r="AL4959" i="2"/>
  <c r="AL4911" i="2"/>
  <c r="AL4894" i="2"/>
  <c r="AL4956" i="2"/>
  <c r="AL4904" i="2"/>
  <c r="AL4884" i="2"/>
  <c r="AL4794" i="2"/>
  <c r="AL4656" i="2"/>
  <c r="AL4635" i="2"/>
  <c r="AL4580" i="2"/>
  <c r="AL4574" i="2"/>
  <c r="AL4548" i="2"/>
  <c r="AL4522" i="2"/>
  <c r="AL4449" i="2"/>
  <c r="AL4953" i="2"/>
  <c r="AL4935" i="2"/>
  <c r="AL4925" i="2"/>
  <c r="AL4921" i="2"/>
  <c r="AL4879" i="2"/>
  <c r="AL4770" i="2"/>
  <c r="AL4659" i="2"/>
  <c r="AL4645" i="2"/>
  <c r="AL4623" i="2"/>
  <c r="AL4619" i="2"/>
  <c r="AL4586" i="2"/>
  <c r="AL4650" i="2"/>
  <c r="AL4576" i="2"/>
  <c r="AL4572" i="2"/>
  <c r="AL4554" i="2"/>
  <c r="AL4529" i="2"/>
  <c r="AL4525" i="2"/>
  <c r="AL4412" i="2"/>
  <c r="AL4404" i="2"/>
  <c r="AL4394" i="2"/>
  <c r="AL4375" i="2"/>
  <c r="AL4254" i="2"/>
  <c r="AL4632" i="2"/>
  <c r="AL4526" i="2"/>
  <c r="AL4370" i="2"/>
  <c r="AL4671" i="2"/>
  <c r="AL4565" i="2"/>
  <c r="AL4500" i="2"/>
  <c r="AL4446" i="2"/>
  <c r="AL4419" i="2"/>
  <c r="AL4367" i="2"/>
  <c r="AL4362" i="2"/>
  <c r="AL4236" i="2"/>
  <c r="AL4643" i="2"/>
  <c r="AL4552" i="2"/>
  <c r="AL4442" i="2"/>
  <c r="AL4416" i="2"/>
  <c r="AL4413" i="2"/>
  <c r="AL4504" i="2"/>
  <c r="AL4100" i="2"/>
  <c r="AL4486" i="2"/>
  <c r="AL4479" i="2"/>
  <c r="AL4440" i="2"/>
  <c r="AL4414" i="2"/>
  <c r="AL4411" i="2"/>
  <c r="AL4400" i="2"/>
  <c r="AL4325" i="2"/>
  <c r="AL4302" i="2"/>
  <c r="AL4210" i="2"/>
  <c r="AL4178" i="2"/>
  <c r="AL4112" i="2"/>
  <c r="AL4246" i="2"/>
  <c r="AL4212" i="2"/>
  <c r="AL4292" i="2"/>
  <c r="AL4276" i="2"/>
  <c r="AL4087" i="2"/>
  <c r="AL4005" i="2"/>
  <c r="AL3963" i="2"/>
  <c r="AL3853" i="2"/>
  <c r="AL3762" i="2"/>
  <c r="AL3680" i="2"/>
  <c r="AL4358" i="2"/>
  <c r="AL4220" i="2"/>
  <c r="AL4066" i="2"/>
  <c r="AL3661" i="2"/>
  <c r="AL3333" i="2"/>
  <c r="AL4350"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4" i="2" l="1"/>
  <c r="AL71" i="2"/>
  <c r="AL12" i="2"/>
  <c r="AM12" i="2" s="1"/>
  <c r="AL61" i="2"/>
  <c r="AM61" i="2" s="1"/>
  <c r="AL60" i="2"/>
  <c r="AM60" i="2" s="1"/>
  <c r="AL56" i="2"/>
  <c r="AM56" i="2" s="1"/>
  <c r="AL55" i="2"/>
  <c r="AM55" i="2" s="1"/>
  <c r="AL54" i="2"/>
  <c r="AM54" i="2" s="1"/>
  <c r="AL50" i="2"/>
  <c r="AL47" i="2"/>
  <c r="AM47" i="2" s="1"/>
  <c r="AL40" i="2"/>
  <c r="AL39" i="2"/>
  <c r="AM39" i="2" s="1"/>
  <c r="AL37" i="2"/>
  <c r="AM37" i="2" s="1"/>
  <c r="AL33" i="2"/>
  <c r="AM33" i="2" s="1"/>
  <c r="AL32" i="2"/>
  <c r="AM32" i="2" s="1"/>
  <c r="AL31" i="2"/>
  <c r="AM31" i="2" s="1"/>
  <c r="AL29" i="2"/>
  <c r="AM29" i="2" s="1"/>
  <c r="AL27" i="2"/>
  <c r="AM27" i="2" s="1"/>
  <c r="AL25" i="2"/>
  <c r="AM25" i="2" s="1"/>
  <c r="AL23" i="2"/>
  <c r="AM23" i="2" s="1"/>
  <c r="AL22" i="2"/>
  <c r="AM22" i="2" s="1"/>
  <c r="AL19" i="2"/>
  <c r="AM19" i="2" s="1"/>
  <c r="AL18" i="2"/>
  <c r="AM18" i="2" s="1"/>
  <c r="AL17" i="2"/>
  <c r="AM17" i="2" s="1"/>
  <c r="AL16" i="2"/>
  <c r="AL14" i="2"/>
  <c r="AM14" i="2" s="1"/>
  <c r="AL9" i="2"/>
  <c r="AM9" i="2" s="1"/>
  <c r="AL7" i="2"/>
  <c r="AM7" i="2" s="1"/>
  <c r="AL73" i="2"/>
  <c r="AL72" i="2"/>
  <c r="AL70" i="2"/>
  <c r="AL69" i="2"/>
  <c r="AL68" i="2"/>
  <c r="AM68" i="2" s="1"/>
  <c r="AL67" i="2"/>
  <c r="AM67" i="2" s="1"/>
  <c r="AL66" i="2"/>
  <c r="AM66" i="2" s="1"/>
  <c r="AL65" i="2"/>
  <c r="AM65" i="2" s="1"/>
  <c r="AL64" i="2"/>
  <c r="AM64" i="2" s="1"/>
  <c r="AL63" i="2"/>
  <c r="AM63" i="2" s="1"/>
  <c r="AL62" i="2"/>
  <c r="AM62" i="2" s="1"/>
  <c r="AL58" i="2"/>
  <c r="AM58" i="2" s="1"/>
  <c r="AL57" i="2"/>
  <c r="AM57" i="2" s="1"/>
  <c r="AL53" i="2"/>
  <c r="AM53" i="2" s="1"/>
  <c r="AL52" i="2"/>
  <c r="AM52" i="2" s="1"/>
  <c r="AL46" i="2"/>
  <c r="AM46" i="2" s="1"/>
  <c r="AL45" i="2"/>
  <c r="AL44" i="2"/>
  <c r="AM44" i="2" s="1"/>
  <c r="AL43" i="2"/>
  <c r="AM43" i="2" s="1"/>
  <c r="AL42" i="2"/>
  <c r="AM42" i="2" s="1"/>
  <c r="AL38" i="2"/>
  <c r="AM38" i="2" s="1"/>
  <c r="AL36" i="2"/>
  <c r="AM36" i="2" s="1"/>
  <c r="AL35" i="2"/>
  <c r="AM35" i="2" s="1"/>
  <c r="AL30" i="2"/>
  <c r="AL26" i="2"/>
  <c r="AL24" i="2"/>
  <c r="AM24" i="2" s="1"/>
  <c r="AL21" i="2"/>
  <c r="AL15" i="2"/>
  <c r="AL11" i="2"/>
  <c r="AM11" i="2" s="1"/>
  <c r="AL10" i="2"/>
  <c r="AL8" i="2"/>
  <c r="AM8" i="2" s="1"/>
  <c r="AL6" i="2"/>
  <c r="AM6" i="2" s="1"/>
  <c r="AL49" i="2"/>
  <c r="AM49" i="2" s="1"/>
  <c r="AL28" i="2"/>
  <c r="AM28" i="2" s="1"/>
  <c r="AL41" i="2"/>
  <c r="AM41" i="2" s="1"/>
  <c r="AL13" i="2"/>
  <c r="AM13" i="2" s="1"/>
  <c r="AL4470" i="2"/>
  <c r="AL4970" i="2"/>
  <c r="AL4963" i="2"/>
  <c r="AL4941" i="2"/>
  <c r="AL4928" i="2"/>
  <c r="AL4909" i="2"/>
  <c r="AL4889" i="2"/>
  <c r="AL4882" i="2"/>
  <c r="AL4845" i="2"/>
  <c r="AL4841" i="2"/>
  <c r="AL4812" i="2"/>
  <c r="AL4775" i="2"/>
  <c r="AL4761" i="2"/>
  <c r="AL4754" i="2"/>
  <c r="AL4725" i="2"/>
  <c r="AL4722" i="2"/>
  <c r="AL4701" i="2"/>
  <c r="AL4683" i="2"/>
  <c r="AL4672" i="2"/>
  <c r="AL4606" i="2"/>
  <c r="AL4595" i="2"/>
  <c r="AL4589" i="2"/>
  <c r="AL4567" i="2"/>
  <c r="AL4564" i="2"/>
  <c r="AL4524" i="2"/>
  <c r="AL4521" i="2"/>
  <c r="AL4490" i="2"/>
  <c r="AL4295" i="2"/>
  <c r="AL4117" i="2"/>
  <c r="AL3872" i="2"/>
  <c r="AL4859" i="2"/>
  <c r="AL4847" i="2"/>
  <c r="AL4831" i="2"/>
  <c r="AL4823" i="2"/>
  <c r="AL4801" i="2"/>
  <c r="AL4695" i="2"/>
  <c r="AL4676" i="2"/>
  <c r="AL4666" i="2"/>
  <c r="AL4651" i="2"/>
  <c r="AL4622" i="2"/>
  <c r="AL4600" i="2"/>
  <c r="AL4536" i="2"/>
  <c r="AL4514" i="2"/>
  <c r="AL4475" i="2"/>
  <c r="AL4467" i="2"/>
  <c r="AL4407" i="2"/>
  <c r="AL4228" i="2"/>
  <c r="AL2390" i="2"/>
  <c r="AL4993" i="2"/>
  <c r="AL4975" i="2"/>
  <c r="AL4918" i="2"/>
  <c r="AL4893" i="2"/>
  <c r="AL4887" i="2"/>
  <c r="AL4842" i="2"/>
  <c r="AL4809" i="2"/>
  <c r="AL4805" i="2"/>
  <c r="AL4795" i="2"/>
  <c r="AL4791" i="2"/>
  <c r="AL4737" i="2"/>
  <c r="AL4712" i="2"/>
  <c r="AL4705" i="2"/>
  <c r="AL4673" i="2"/>
  <c r="AL4655" i="2"/>
  <c r="AL4627" i="2"/>
  <c r="AL4618" i="2"/>
  <c r="AL4457" i="2"/>
  <c r="AL4757" i="2"/>
  <c r="AL4435" i="2"/>
  <c r="AL4998" i="2"/>
  <c r="AL4990" i="2"/>
  <c r="AL4919" i="2"/>
  <c r="AL4907" i="2"/>
  <c r="AL4868" i="2"/>
  <c r="AL4857" i="2"/>
  <c r="AL4828" i="2"/>
  <c r="AL4788" i="2"/>
  <c r="AL4713" i="2"/>
  <c r="AL4652" i="2"/>
  <c r="AL4631" i="2"/>
  <c r="AL4562" i="2"/>
  <c r="AL4547" i="2"/>
  <c r="AL4544" i="2"/>
  <c r="AL4491" i="2"/>
  <c r="AL4468" i="2"/>
  <c r="AL4458" i="2"/>
  <c r="AL4451" i="2"/>
  <c r="AL4430" i="2"/>
  <c r="AL4408" i="2"/>
  <c r="AL4356" i="2"/>
  <c r="AL3499" i="2"/>
  <c r="AL3443" i="2"/>
  <c r="AL4983" i="2"/>
  <c r="AL4950" i="2"/>
  <c r="AL4915" i="2"/>
  <c r="AL4901" i="2"/>
  <c r="AL4888" i="2"/>
  <c r="AL4881" i="2"/>
  <c r="AL4760" i="2"/>
  <c r="AL4749" i="2"/>
  <c r="AL4732" i="2"/>
  <c r="AL4727" i="2"/>
  <c r="AL4702" i="2"/>
  <c r="AL4674" i="2"/>
  <c r="AL4616" i="2"/>
  <c r="AL4584" i="2"/>
  <c r="AL4507" i="2"/>
  <c r="AL4497" i="2"/>
  <c r="AL4480" i="2"/>
  <c r="AL4473" i="2"/>
  <c r="AL4465" i="2"/>
  <c r="AL4409" i="2"/>
  <c r="AL4364" i="2"/>
  <c r="AL4320" i="2"/>
  <c r="AL4186" i="2"/>
  <c r="AL4170" i="2"/>
  <c r="AL3743" i="2"/>
  <c r="AL4641" i="2"/>
  <c r="AL4972" i="2"/>
  <c r="AL4940" i="2"/>
  <c r="AL4814" i="2"/>
  <c r="AL4767" i="2"/>
  <c r="AL4763" i="2"/>
  <c r="AL4746" i="2"/>
  <c r="AL4721" i="2"/>
  <c r="AL4693" i="2"/>
  <c r="AL4660" i="2"/>
  <c r="AL4598" i="2"/>
  <c r="AL4530" i="2"/>
  <c r="AL4508" i="2"/>
  <c r="AL4323" i="2"/>
  <c r="AL4199" i="2"/>
  <c r="AL3517" i="2"/>
  <c r="AL3099" i="2"/>
  <c r="AL4988" i="2"/>
  <c r="AL4965" i="2"/>
  <c r="AL4934" i="2"/>
  <c r="AL4902" i="2"/>
  <c r="AL4898" i="2"/>
  <c r="AL4878" i="2"/>
  <c r="AL4851" i="2"/>
  <c r="AL4834" i="2"/>
  <c r="AL4803" i="2"/>
  <c r="AL4793" i="2"/>
  <c r="AL4790" i="2"/>
  <c r="AL4774" i="2"/>
  <c r="AL4744" i="2"/>
  <c r="AL4703" i="2"/>
  <c r="AL4657" i="2"/>
  <c r="AL4628" i="2"/>
  <c r="AL4613" i="2"/>
  <c r="AL4602" i="2"/>
  <c r="AL4559" i="2"/>
  <c r="AL4538" i="2"/>
  <c r="AL4535" i="2"/>
  <c r="AL4523" i="2"/>
  <c r="AL4495" i="2"/>
  <c r="AL4477" i="2"/>
  <c r="AL4474" i="2"/>
  <c r="AL4274" i="2"/>
  <c r="AL4194" i="2"/>
  <c r="AL3414" i="2"/>
  <c r="AL4360" i="2"/>
  <c r="AL4270" i="2"/>
  <c r="AL4244" i="2"/>
  <c r="AL3993" i="2"/>
  <c r="AL3976" i="2"/>
  <c r="AL3948" i="2"/>
  <c r="AL3927" i="2"/>
  <c r="AL3900" i="2"/>
  <c r="AL3735" i="2"/>
  <c r="AL3728" i="2"/>
  <c r="AL3465" i="2"/>
  <c r="AL3382" i="2"/>
  <c r="AL3253" i="2"/>
  <c r="AL4371" i="2"/>
  <c r="AL4306" i="2"/>
  <c r="AL4265" i="2"/>
  <c r="AL3956" i="2"/>
  <c r="AL3835" i="2"/>
  <c r="AL3832" i="2"/>
  <c r="AL3825" i="2"/>
  <c r="AL3755" i="2"/>
  <c r="AL3740" i="2"/>
  <c r="AL3726" i="2"/>
  <c r="AL3712" i="2"/>
  <c r="AL3672" i="2"/>
  <c r="AL3360" i="2"/>
  <c r="AL4462" i="2"/>
  <c r="AL4383" i="2"/>
  <c r="AL4354" i="2"/>
  <c r="AL4280" i="2"/>
  <c r="AL4269" i="2"/>
  <c r="AL4250" i="2"/>
  <c r="AL4222" i="2"/>
  <c r="AL4208" i="2"/>
  <c r="AL4122" i="2"/>
  <c r="AL3953" i="2"/>
  <c r="AL3947" i="2"/>
  <c r="AL3771" i="2"/>
  <c r="AL3764" i="2"/>
  <c r="AL3716" i="2"/>
  <c r="AL3492" i="2"/>
  <c r="AL3363" i="2"/>
  <c r="AL3300" i="2"/>
  <c r="AL4402" i="2"/>
  <c r="AL4347" i="2"/>
  <c r="AL4311" i="2"/>
  <c r="AL4195" i="2"/>
  <c r="AL4145" i="2"/>
  <c r="AL4072" i="2"/>
  <c r="AL3950" i="2"/>
  <c r="AL3884" i="2"/>
  <c r="AL3790" i="2"/>
  <c r="AL3741" i="2"/>
  <c r="AL3695" i="2"/>
  <c r="AL3552" i="2"/>
  <c r="AL3530" i="2"/>
  <c r="AL3493" i="2"/>
  <c r="AL3468" i="2"/>
  <c r="AL3467" i="2"/>
  <c r="AL3353" i="2"/>
  <c r="AL3344" i="2"/>
  <c r="AL4450" i="2"/>
  <c r="AL4426" i="2"/>
  <c r="AL4406" i="2"/>
  <c r="AL4403" i="2"/>
  <c r="AL4380" i="2"/>
  <c r="AL4376" i="2"/>
  <c r="AL4304" i="2"/>
  <c r="AL4289" i="2"/>
  <c r="AL4084" i="2"/>
  <c r="AL3915" i="2"/>
  <c r="AL3892" i="2"/>
  <c r="AL3548" i="2"/>
  <c r="AL3535" i="2"/>
  <c r="AL3531" i="2"/>
  <c r="AL3378" i="2"/>
  <c r="AL3307" i="2"/>
  <c r="AL2454" i="2"/>
  <c r="AL3328" i="2"/>
  <c r="AL3306" i="2"/>
  <c r="AL3005" i="2"/>
  <c r="AL2759" i="2"/>
  <c r="AL2542" i="2"/>
  <c r="AL2608" i="2"/>
  <c r="AL3018" i="2"/>
  <c r="AL2663" i="2"/>
  <c r="AL2674" i="2"/>
  <c r="AL2622" i="2"/>
  <c r="AL2557" i="2"/>
  <c r="AL2530" i="2"/>
  <c r="AL2432" i="2"/>
  <c r="AL2606" i="2"/>
  <c r="AL2545" i="2"/>
  <c r="AL2630" i="2"/>
  <c r="AL2544" i="2"/>
  <c r="AL2479" i="2"/>
  <c r="AL2224" i="2"/>
  <c r="AL2767" i="2"/>
  <c r="AL2722" i="2"/>
  <c r="AL2637" i="2"/>
  <c r="AL2584" i="2"/>
  <c r="AL2571" i="2"/>
  <c r="AL2522" i="2"/>
  <c r="AL2438" i="2"/>
  <c r="AL2414" i="2"/>
  <c r="AL2355" i="2"/>
  <c r="AL2204" i="2"/>
  <c r="AL2175" i="2"/>
  <c r="AL2029" i="2"/>
  <c r="AL2004" i="2"/>
  <c r="AL1544" i="2"/>
  <c r="AL2366" i="2"/>
  <c r="AL2066" i="2"/>
  <c r="AL2006" i="2"/>
  <c r="AL1588" i="2"/>
  <c r="AL2462" i="2"/>
  <c r="AL1818" i="2"/>
  <c r="AL2416" i="2"/>
  <c r="AL2364" i="2"/>
  <c r="AL2353" i="2"/>
  <c r="AL2295" i="2"/>
  <c r="AL2199" i="2"/>
  <c r="AL2091" i="2"/>
  <c r="AL1649" i="2"/>
  <c r="AL1486" i="2"/>
  <c r="AL2430" i="2"/>
  <c r="AL2357" i="2"/>
  <c r="AL2334" i="2"/>
  <c r="AL2124" i="2"/>
  <c r="AL1883" i="2"/>
  <c r="AL1411" i="2"/>
  <c r="AL1308" i="2"/>
  <c r="AL1455" i="2"/>
  <c r="AL1173" i="2"/>
  <c r="AL998" i="2"/>
  <c r="AL967" i="2"/>
  <c r="AL1314" i="2"/>
  <c r="AL947" i="2"/>
  <c r="AL5082" i="2"/>
  <c r="AL445" i="2"/>
  <c r="AL983" i="2"/>
  <c r="AL597" i="2"/>
  <c r="AL168" i="2"/>
  <c r="AL1001" i="2"/>
  <c r="AL950" i="2"/>
  <c r="AL5118" i="2"/>
  <c r="AL179" i="2"/>
  <c r="AL324" i="2"/>
  <c r="AL253" i="2"/>
  <c r="AL292" i="2"/>
  <c r="AL169" i="2"/>
  <c r="AL5227" i="2"/>
  <c r="AL16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<sst xmlns="http://schemas.openxmlformats.org/spreadsheetml/2006/main" count="1139" uniqueCount="261">
  <si>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</si>
  <si>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</si>
  <si>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</si>
  <si>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</si>
  <si>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</si>
  <si>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</si>
  <si>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</si>
  <si>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</si>
  <si>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</si>
  <si>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</si>
  <si>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</si>
  <si>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</si>
  <si>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</si>
  <si>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</si>
  <si>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</si>
  <si>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</si>
  <si>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</si>
  <si>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</si>
  <si>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</si>
  <si>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</si>
  <si>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</si>
  <si>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</si>
  <si>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</si>
  <si>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</si>
  <si>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</si>
  <si>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</si>
  <si>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</si>
  <si>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</si>
  <si>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</si>
  <si>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</si>
  <si>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</si>
  <si>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</si>
  <si>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</si>
  <si>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</si>
  <si>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</si>
  <si>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</si>
  <si>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</si>
  <si>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</si>
  <si>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</si>
  <si>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</si>
  <si>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</si>
  <si>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</si>
  <si>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</si>
  <si>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</si>
  <si>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</si>
  <si>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</si>
  <si>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</si>
  <si>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</si>
  <si>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</si>
  <si>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</si>
  <si>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</si>
  <si>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</si>
  <si>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</si>
  <si>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</si>
  <si>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</si>
  <si>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</si>
  <si>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</si>
  <si>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</si>
  <si>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</si>
  <si>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</si>
  <si>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</si>
  <si>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</si>
  <si>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</si>
  <si>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</si>
  <si>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</si>
  <si>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</si>
  <si>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</si>
  <si>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</si>
  <si>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</si>
  <si>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</si>
  <si>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</si>
  <si>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</si>
  <si>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</si>
  <si>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</si>
  <si>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</si>
  <si>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</si>
  <si>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</si>
  <si>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</si>
  <si>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</si>
  <si>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</si>
  <si>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</si>
  <si>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</si>
  <si>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</si>
  <si>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</si>
  <si>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</si>
  <si>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</si>
  <si>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</si>
  <si>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</si>
  <si>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</si>
  <si>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</si>
  <si>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</si>
  <si>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</si>
  <si>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NA</t>
  </si>
  <si>
    <t>Copper creek</t>
  </si>
  <si>
    <t>Hwy 97</t>
  </si>
  <si>
    <t>Closed Bottom Structure</t>
  </si>
  <si>
    <t>Round Culvert</t>
  </si>
  <si>
    <t>No</t>
  </si>
  <si>
    <t>Yes</t>
  </si>
  <si>
    <t>Deep Fill</t>
  </si>
  <si>
    <t>Low</t>
  </si>
  <si>
    <t>Tributary to crooked river</t>
  </si>
  <si>
    <t>Red rocky creek</t>
  </si>
  <si>
    <t>Pipe Arch</t>
  </si>
  <si>
    <t>Medium</t>
  </si>
  <si>
    <t>Altezega Creek</t>
  </si>
  <si>
    <t>Oval Culvert</t>
  </si>
  <si>
    <t>High</t>
  </si>
  <si>
    <t>Unknown</t>
  </si>
  <si>
    <t>Other</t>
  </si>
  <si>
    <t xml:space="preserve"> Tributary to McLeod lake</t>
  </si>
  <si>
    <t xml:space="preserve"> Highway 97</t>
  </si>
  <si>
    <t>MoTi</t>
  </si>
  <si>
    <t>Tsatchuka Creek</t>
  </si>
  <si>
    <t>Highway 97</t>
  </si>
  <si>
    <t xml:space="preserve"> Tributary to Mcloed Lake</t>
  </si>
  <si>
    <t xml:space="preserve"> MOTI</t>
  </si>
  <si>
    <t xml:space="preserve"> Tributary  to McLeod Lake</t>
  </si>
  <si>
    <t>Whiskers Creek</t>
  </si>
  <si>
    <t xml:space="preserve">Campground </t>
  </si>
  <si>
    <t>MoE</t>
  </si>
  <si>
    <t>Open Bottom Structure</t>
  </si>
  <si>
    <t>Bridge</t>
  </si>
  <si>
    <t xml:space="preserve"> Whiskers Creek</t>
  </si>
  <si>
    <t xml:space="preserve"> Campground Road</t>
  </si>
  <si>
    <t xml:space="preserve"> MOE</t>
  </si>
  <si>
    <t>MW</t>
  </si>
  <si>
    <t>Miller Creek</t>
  </si>
  <si>
    <t>Summit Lake Rd</t>
  </si>
  <si>
    <t>O'Dell Creek</t>
  </si>
  <si>
    <t>Neilson Creek</t>
  </si>
  <si>
    <t>Caine Creek FSR</t>
  </si>
  <si>
    <t>Witters Creek</t>
  </si>
  <si>
    <t>Railway</t>
  </si>
  <si>
    <t>Tributary to Crooked River</t>
  </si>
  <si>
    <t>Davie-Bear Lake FSR</t>
  </si>
  <si>
    <t>AI</t>
  </si>
  <si>
    <t xml:space="preserve"> Tributary to Kari Lake</t>
  </si>
  <si>
    <t xml:space="preserve">MOTI          </t>
  </si>
  <si>
    <t xml:space="preserve"> Tributary to Kerry Lake</t>
  </si>
  <si>
    <t xml:space="preserve"> Pipeline </t>
  </si>
  <si>
    <t xml:space="preserve">Pipeline          </t>
  </si>
  <si>
    <t xml:space="preserve"> Tributary to crooked River</t>
  </si>
  <si>
    <t xml:space="preserve">  MOTI</t>
  </si>
  <si>
    <t>42 Mile Creek</t>
  </si>
  <si>
    <t xml:space="preserve"> Highway  97</t>
  </si>
  <si>
    <t xml:space="preserve"> Tributary to McLeod Lake</t>
  </si>
  <si>
    <t>Kerry FSR</t>
  </si>
  <si>
    <t xml:space="preserve">Carrie FSR          </t>
  </si>
  <si>
    <t xml:space="preserve">Kerry FSR          </t>
  </si>
  <si>
    <t>Tributary to Altezega Creek</t>
  </si>
  <si>
    <t>Firth Lake FSR</t>
  </si>
  <si>
    <t>MW Madi</t>
  </si>
  <si>
    <t>Tributary Weedon Lake</t>
  </si>
  <si>
    <t>Davie-weedon lake FSR</t>
  </si>
  <si>
    <t>Tributary to Weedon Creek</t>
  </si>
  <si>
    <t>Tributary to Weedon Lake</t>
  </si>
  <si>
    <t>Davie-weedon Lake FSR</t>
  </si>
  <si>
    <t>Tributary to Davie Lake</t>
  </si>
  <si>
    <t>Davie Lake FSR</t>
  </si>
  <si>
    <t xml:space="preserve">Tributary to </t>
  </si>
  <si>
    <t>AI JD TS BP</t>
  </si>
  <si>
    <t xml:space="preserve">Tributary to Hammett Creek          </t>
  </si>
  <si>
    <t>Al</t>
  </si>
  <si>
    <t>Tributary to Hammett</t>
  </si>
  <si>
    <t>Carp Lake FSR</t>
  </si>
  <si>
    <t xml:space="preserve"> Tributary to Hammett Creek</t>
  </si>
  <si>
    <t>Davie-War FSR</t>
  </si>
  <si>
    <t>AI TS</t>
  </si>
  <si>
    <t xml:space="preserve"> Tributary to Weeden Lake</t>
  </si>
  <si>
    <t xml:space="preserve">Davie-Weeden FSR          </t>
  </si>
  <si>
    <t>Tributary to Weeden Lake</t>
  </si>
  <si>
    <t>David-weeden FSR</t>
  </si>
  <si>
    <t>Tributary to David Lake</t>
  </si>
  <si>
    <t>David Lake FSR</t>
  </si>
  <si>
    <t>MW Macleod</t>
  </si>
  <si>
    <t>Tributary to Macleod Lake</t>
  </si>
  <si>
    <t>Spur</t>
  </si>
  <si>
    <t>AI MD</t>
  </si>
  <si>
    <t>Davie-Muskeg FSR</t>
  </si>
  <si>
    <t>Al MD</t>
  </si>
  <si>
    <t xml:space="preserve">Tributary to Crooked River </t>
  </si>
  <si>
    <t>Tributary to McLeod Lake</t>
  </si>
  <si>
    <t>Campground</t>
  </si>
  <si>
    <t>Tributary to 42 Mile Creek</t>
  </si>
  <si>
    <t>Unnamed</t>
  </si>
  <si>
    <t xml:space="preserve">MW </t>
  </si>
  <si>
    <t>Teapot Creek</t>
  </si>
  <si>
    <t>Balsam Creek</t>
  </si>
  <si>
    <t>Enquist Creek</t>
  </si>
  <si>
    <t>Tributary to Boot Lake</t>
  </si>
  <si>
    <t xml:space="preserve">Firth Lake FSR </t>
  </si>
  <si>
    <t>Redrocky Creek</t>
  </si>
  <si>
    <t>Lincoln Creek</t>
  </si>
  <si>
    <t>Chuchinka red rocky FSR</t>
  </si>
  <si>
    <t>Backwatered. No water in culvert. Some water near inlet and outlet. Stream dewaters downstream again after ~20m.</t>
  </si>
  <si>
    <t xml:space="preserve">Grate on inlet. Backwatered and big wetland area upstream. Difficult to determine where stream Is, width and gradient estimated. </t>
  </si>
  <si>
    <t>Enormous outlet pool indicating culvert may be undersized. Numerous fish spotted in outlet pool and inlet side. Debris jams covering entire stream channel at inlet and at outlet of outlet pool. Pool very deep, depth estimated.</t>
  </si>
  <si>
    <t>Very little flow through culvert. Overgrown channel. Very little water in stream. Not likely fish bearing.</t>
  </si>
  <si>
    <t xml:space="preserve">Fish spotted in culvert and near inlet. Some substrate and cobbles in pipe. </t>
  </si>
  <si>
    <t>High habitat quality. Old quad trail. Small trib flowing into creek from one side.</t>
  </si>
  <si>
    <t xml:space="preserve">Stream is located between McLeod Lake Store on Highway and Tseâ€Khene food and fuel entrance. Most of the watershed drains reservation land. Could potentially be backwatered as an interim solution.   Channell with estimated upstream in wetland type habitat so difficult to tell.  </t>
  </si>
  <si>
    <t>Grate on inlet and beaver influenced wetland upstream.  Inlet blocked by beaver debris with beaver trap on inlet.  Potentially good candidate for leveler to maintain beaver activity without attempting to remove the animals.</t>
  </si>
  <si>
    <t xml:space="preserve">Abundant gravels, suitable for spawning upstream. Although flows are minimal, the streams does still have water.  Models having over 3 km of habitat upstream below 5%. Although no fish are recorded as present upstream it seems highly likely that this would be a fish fan stream. If the cover it was not there. Outlet drop is 80cm.  Steep section of pipe at the inlet recorded as inlet drop.               </t>
  </si>
  <si>
    <t xml:space="preserve">Discovered is extremely under sized. Nice stream with pockets of gravel and good flow upstream. Rainbow known in the system. Culvert is literally unravelling at the downstream and with a very large outlet pool. Beaver activity noted downstream. Seems very unlikely that any fish passed through that pipe.          </t>
  </si>
  <si>
    <t xml:space="preserve">Nice little campground bridge          </t>
  </si>
  <si>
    <t xml:space="preserve">There are four bridges in total within 200m          With 2 inventoried. Other two bridges should be added to bcfishpass.          </t>
  </si>
  <si>
    <t xml:space="preserve">Beaver activity downstream with extensive beaver influence wetlands upstream. 1 1/2 m high blockage at the inlet to to beaver activity. Stream with difficult to estimate due to wetland nature of habitat upstream. This is the first road stream crossing on this stream to be an issue as all downstream, crossings or bridges within whiskers point provincial park campground.          </t>
  </si>
  <si>
    <t xml:space="preserve">Culvert is fully submerged on outlet side. No stream found beyond outlet pool. Big wetland complex on upstream side. No defined channel. Stream slope, channel width, and culvert slope were estimated. </t>
  </si>
  <si>
    <t xml:space="preserve">Beaver grate on inlet side. Big wetland area upstream, backwaters, and no defined stream channel. Some flow downstream. Very little flow through pipe. </t>
  </si>
  <si>
    <t xml:space="preserve">Debris jam at inlet creating small drop. Large wetland area upstream and downstream. No well defined channel. </t>
  </si>
  <si>
    <t xml:space="preserve">Culvert in very bad condition. Debris jam blocking inlet. Stream habitat ok, some deep pools and abundant riparian vegetation. </t>
  </si>
  <si>
    <t xml:space="preserve">No visible channel upstream. Very little flow through culvert. Some water and cobbles at outlet. </t>
  </si>
  <si>
    <t>Small amount of water in pipe. Channel is overgrown downstream. Almost no flow in stream.</t>
  </si>
  <si>
    <t>Wetland habitat, no flow. No culvert found south where modelled crossing is supposed to be on map.</t>
  </si>
  <si>
    <t>Looks like good habitat downstream. Wetland upstream.</t>
  </si>
  <si>
    <t>Two pipes. Added 2 diameters. Big wetland upstream and downstream. No well defined channel.</t>
  </si>
  <si>
    <t>Backwatered, wetland downstream. Culvert is rusted.</t>
  </si>
  <si>
    <t xml:space="preserve">100% back watered culvert with lots of beaver activity and wetland area upstream. In the drop is created by beaver generated shrub material so back watering is happening however, there is a step of approximately 0.6 m at the top end of the pipe. Black algae throughout channel downstream.  Downstream channel appears to potentially be constructed of rock at approximately 3.8 m wide before entering more Beaverdam influence wetland habitat.          </t>
  </si>
  <si>
    <t xml:space="preserve">Armoured Ford on pipeline. Immediately downstream of highway.          </t>
  </si>
  <si>
    <t xml:space="preserve"> 0.5 m pipe is stuffed inside of the sleeve of a larger older pipe. Beaver trap located at inlet. Burbot have been observed upstream in the past inlet almost completely blocked by beaver debris, as well as human placed sticks and beaver trap significant road prism erosion on upstream side of pipe as well as immediately adjacent to outlet.          </t>
  </si>
  <si>
    <t xml:space="preserve">Nice stream with good flow and abundant gravel suitably sized responding some on it. Culvert is 100% backordered and fully embedded. It appears as though there have been some very high flow events that are most significant amounts of travel, substrate, upstream and downstream. See photos. Channell seems overly straight and deep so suspect machine work has been done to dredge out the pricing, upstream and downstream.                   </t>
  </si>
  <si>
    <t>Newly installed horizontally drilled culvert. Stream dry at the time of assessment. Partially vegetated channel upstream, and downstream indicates that the system has not flowed heavily perennially for some time. Wetland type habitat upstream with nice gravels and classic stream character downstream.  Baffles installed within the pipe.</t>
  </si>
  <si>
    <t xml:space="preserve">Very nice stream with good flows an appointment gravel. Healthy riparian with evidence of beaver activity, including dam, approximately 5 m downstream of outlet which has back, watered the entire structure, including the outlet of the pipe, which is approximately 10 cm below the surface. It appears as though the crossing has been dredged with a machine recently, both upstream and downstream to deal with substrate deposition.                   </t>
  </si>
  <si>
    <t xml:space="preserve"> Small stream with extremely long pipe. In very bad shape. End of pipe is unravelling with evidence of machine work at the outlet. Grate on inlet is off of pipe. Appears there has been dredging both upstream and downstream. Large area of clear-cut land upstream.
</t>
  </si>
  <si>
    <t xml:space="preserve"> Unlikely a fish stream. Dry at the time of assessment.</t>
  </si>
  <si>
    <t xml:space="preserve">Nice little stream with decent flow for this time of year. Pockets of gravel throughout and healthy shrub and mixed riparian. Fish presence unknown, but seems likely due to proximity to Kerry lake with low gradients          </t>
  </si>
  <si>
    <t>Stream dry at time of survey. Appears to be a fairly large system with abundant travels present throughout. Estimated  2 to 300 m of lower gradient habitat upstream that could be useful for downstream populations in the spring.     Huge outlet drop and very large dry pool indicating pipe is undersized.</t>
  </si>
  <si>
    <t>High habitat value upstream. Many fish spotted in outlet pool. Trib to big system. Culvert old and not in great shape. Needs to be replaced.</t>
  </si>
  <si>
    <t xml:space="preserve">Bridge over wetland drainage area. Channel dry at time of assessment. Not a mapped stream but a wetland area upstream of the highway.          </t>
  </si>
  <si>
    <t>No clear defined channel. Gradient and channel width could not be determined. Dewatered stream. Small, old culvert.</t>
  </si>
  <si>
    <t>Big beaver dam directly on inlet side. Wetland downstream.</t>
  </si>
  <si>
    <t>Two culverts of equal length. Debris blockage on inlet side of both pipes. Some flow through culvert. Right culvert is caved in near inlet.</t>
  </si>
  <si>
    <t>Big outlet drop with big outlet pool.</t>
  </si>
  <si>
    <t>High habitat value. Good flowing stream.</t>
  </si>
  <si>
    <t xml:space="preserve">Dewatered channel. Very overgrown and no clear channel. Channel width and gradient estimated. </t>
  </si>
  <si>
    <t xml:space="preserve">Stream dry at the time of assessment. This is a larger system during runoff with abundant gravelâ€˜s present suitable for rainbow spawning. Old pipe located downstream of the crossing proximately 20 m. Healthy riparian mixed forest.                    </t>
  </si>
  <si>
    <t xml:space="preserve">Ford. Deep deactivation will block all ATV access.          </t>
  </si>
  <si>
    <t xml:space="preserve">Small stream with dry, mostly vegetated channel indicating stream rarely flows. Very unlikely that fish try to access upstream of the road.          </t>
  </si>
  <si>
    <t xml:space="preserve"> Ford. Deactivated road with ATV drive around.          </t>
  </si>
  <si>
    <t xml:space="preserve">Large wetland areas, upstream and downstream. Culvert appears to have settled in the middle with raised inlet and outlet. Beaverdam over 1 m high located just upstream of inlet.          </t>
  </si>
  <si>
    <t xml:space="preserve">Abundant gravel downstream. Minimal flow but channel is well defined indicating it flows most the year.  Crossing modelled as just upstream a couple hundred metres does not exist, and should be entered into bcfishpass.          </t>
  </si>
  <si>
    <t xml:space="preserve">Three pipes. Stream is completely dewatered. No water flowing through culvert. Culvert diameter totaled between three. </t>
  </si>
  <si>
    <t xml:space="preserve">Surprisingly large drainage with good flow. Huge outlet drop and pipe is in very bad shape. Extra 3 m of culvert has been added to the downstream side and is sloping the opposite direction to draining. Large amounts of algae in the channel downstream. Massive amounts of erosion in the downstream channel indicating there are very high flows during runoff.          </t>
  </si>
  <si>
    <t xml:space="preserve">Pipe is an extremely bad condition. There are collapsed sections at the edge of the road prism both upstream and downstream. Large system with decent flow. Some gravelâ€™s suitable for spawning downstream.          </t>
  </si>
  <si>
    <t xml:space="preserve">Low Gadient wetland type habitat with find substrates upstream. Decent size drainage with some water in the channel but no actual flow.  Some gravels downstream.          </t>
  </si>
  <si>
    <t xml:space="preserve">Small culvert within the campground area. Approximately 40 m upstream of the mouth of the lake.          </t>
  </si>
  <si>
    <t>Small stream with some flow.</t>
  </si>
  <si>
    <t>Very small culvert, dewatered. No well defined channel present. Channel width and slope estimated. Main flow of stream likely goes under bridge nearby.</t>
  </si>
  <si>
    <t xml:space="preserve">Wetland upstream and downstream. Stream gradient estimated. No water in culvert, dewatered downstream near crossing. Blockage at inlet. Steep embankment above culvert, risk of rockslide high. </t>
  </si>
  <si>
    <t>Very little flow and water at time of survey. Huge downed trees on downstream side.</t>
  </si>
  <si>
    <t>Culvert was in wrong location on map. A lot of fry fish spotted near outlet. Culvert very rusted and near the end of its life. Small channel upstream running along road for 20m but no defined channel after that.</t>
  </si>
  <si>
    <t xml:space="preserve">Fry and parr spotted upstream and downstream of crossing. Culvert very rusted on inlet side. Wetland habitat upstream. Channel narrows downstream and is a little overgrown but has moderate flow. </t>
  </si>
  <si>
    <t>Stream is dewatered. No clearly defined channel up or downstream. Small tree growing on inlet side, sign that there hasn't been water flowing in a long time. Channel width and slope estimated.</t>
  </si>
  <si>
    <t>Looks like there was once a very old bridge here. Very overgrown and rotten. Water passing underneath but not flowing. Not a fish passage issue.</t>
  </si>
  <si>
    <t xml:space="preserve">Two culverts, one plastic pipe and one really old metal pipe. Metal pipe is longer, outlets are at different spots. </t>
  </si>
  <si>
    <t>No water flowing under bridge at time of survey. Dewatered downstream.</t>
  </si>
  <si>
    <t>Nice looking stream with good flow.</t>
  </si>
  <si>
    <t>Dewatered stream at time of survey.</t>
  </si>
  <si>
    <t>Wetland upstream and downstream. No flowing water under bridge.</t>
  </si>
  <si>
    <t>Small lake upstream. Modelled crossing was in wrong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</si>
</sst>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49" fontId="0" fillId="0" borderId="0" xfId="0" applyNumberFormat="1"/>
    <xf numFmtId="0" fontId="22" fillId="0" borderId="0" xfId="1" applyAlignment="1" applyProtection="1"/>
    <xf numFmtId="2" fontId="1" fillId="0" borderId="0" xfId="3" applyNumberFormat="1" applyFill="1" applyProtection="1">
      <protection locked="0"/>
    </xf>
    <xf numFmtId="0" fontId="0" fillId="0" borderId="0" xfId="0" applyFill="1" applyProtection="1">
      <protection locked="0"/>
    </xf>
    <xf numFmtId="0" fontId="0" fillId="10" borderId="0" xfId="0" applyFill="1" applyProtection="1"/>
    <xf numFmtId="2" fontId="0" fillId="0" borderId="0" xfId="0" applyNumberFormat="1" applyFill="1" applyProtection="1">
      <protection locked="0"/>
    </xf>
    <xf numFmtId="2" fontId="0" fillId="10" borderId="0" xfId="0" applyNumberFormat="1" applyFill="1" applyProtection="1"/>
    <xf numFmtId="165"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ill="1" applyAlignment="1" applyProtection="1">
      <alignment horizontal="right"/>
      <protection locked="0"/>
    </xf>
    <xf numFmtId="1" fontId="1" fillId="0" borderId="0" xfId="3" applyNumberFormat="1" applyFill="1" applyProtection="1">
      <protection locked="0"/>
    </xf>
    <xf numFmtId="2" fontId="5" fillId="0" borderId="0" xfId="2" applyNumberFormat="1" applyFill="1" applyAlignment="1" applyProtection="1">
      <alignment horizontal="right"/>
      <protection locked="0"/>
    </xf>
    <xf numFmtId="0" fontId="1" fillId="0" borderId="0" xfId="3" applyFill="1" applyProtection="1">
      <protection locked="0"/>
    </xf>
    <xf numFmtId="0" fontId="5" fillId="0" borderId="0" xfId="2" applyFill="1" applyProtection="1">
      <protection locked="0"/>
    </xf>
    <xf numFmtId="2" fontId="5" fillId="0" borderId="0" xfId="2" applyNumberFormat="1" applyFill="1" applyProtection="1">
      <protection locked="0"/>
    </xf>
    <xf numFmtId="2" fontId="0" fillId="0" borderId="0" xfId="0" applyNumberFormat="1" applyFill="1" applyAlignment="1" applyProtection="1">
      <alignment horizontal="right" wrapText="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6" t="s">
        <v>90</v>
      </c>
    </row>
    <row r="9" spans="1:20" x14ac:dyDescent="0.25">
      <c r="A9" s="36"/>
      <c r="B9" s="33"/>
    </row>
    <row r="10" spans="1:20" ht="45" x14ac:dyDescent="0.25">
      <c r="A10" s="23" t="s">
        <v>55</v>
      </c>
      <c r="B10" s="76" t="s">
        <v>88</v>
      </c>
    </row>
    <row r="11" spans="1:20" ht="105" x14ac:dyDescent="0.25">
      <c r="A11" s="23"/>
      <c r="B11" s="53" t="s">
        <v>77</v>
      </c>
    </row>
    <row r="12" spans="1:20" ht="60" x14ac:dyDescent="0.25">
      <c r="A12" s="36"/>
      <c r="B12" s="49" t="s">
        <v>78</v>
      </c>
    </row>
    <row r="13" spans="1:20" ht="30" x14ac:dyDescent="0.25">
      <c r="A13" s="36"/>
      <c r="B13" s="56" t="s">
        <v>79</v>
      </c>
    </row>
    <row r="14" spans="1:20" x14ac:dyDescent="0.25">
      <c r="A14" s="36"/>
      <c r="B14" s="48"/>
    </row>
    <row r="15" spans="1:20" ht="402.6" customHeight="1" x14ac:dyDescent="0.25">
      <c r="A15" s="23" t="s">
        <v>56</v>
      </c>
      <c r="B15" s="76" t="s">
        <v>89</v>
      </c>
    </row>
    <row r="16" spans="1:20" x14ac:dyDescent="0.25">
      <c r="A16" s="36"/>
      <c r="B16" s="35"/>
    </row>
    <row r="17" spans="1:2" ht="90" x14ac:dyDescent="0.25">
      <c r="A17" s="23" t="s">
        <v>57</v>
      </c>
      <c r="B17" s="35" t="s">
        <v>80</v>
      </c>
    </row>
    <row r="18" spans="1:2" x14ac:dyDescent="0.25">
      <c r="A18" s="36"/>
      <c r="B18" s="36"/>
    </row>
    <row r="19" spans="1:2" ht="60" x14ac:dyDescent="0.25">
      <c r="A19" s="23" t="s">
        <v>81</v>
      </c>
      <c r="B19" s="35" t="s">
        <v>71</v>
      </c>
    </row>
    <row r="20" spans="1:2" ht="45" x14ac:dyDescent="0.25">
      <c r="B20" s="53" t="s">
        <v>82</v>
      </c>
    </row>
    <row r="22" spans="1:2" ht="15.75" x14ac:dyDescent="0.25">
      <c r="A22" s="23" t="s">
        <v>72</v>
      </c>
      <c r="B22" s="34"/>
    </row>
    <row r="23" spans="1:2" ht="60" x14ac:dyDescent="0.25">
      <c r="A23" s="23"/>
      <c r="B23" s="50" t="s">
        <v>83</v>
      </c>
    </row>
    <row r="24" spans="1:2" ht="15.75" x14ac:dyDescent="0.25">
      <c r="A24" s="23"/>
      <c r="B24" s="55"/>
    </row>
    <row r="25" spans="1:2" ht="45" x14ac:dyDescent="0.25">
      <c r="A25" s="23"/>
      <c r="B25" s="54"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78"/>
    </row>
    <row r="8" spans="1:20" x14ac:dyDescent="0.25">
      <c r="A8" s="4" t="s">
        <v>73</v>
      </c>
    </row>
    <row r="9" spans="1:20" x14ac:dyDescent="0.25">
      <c r="A9" s="4" t="s">
        <v>74</v>
      </c>
    </row>
    <row r="10" spans="1:20" x14ac:dyDescent="0.25">
      <c r="A10" s="4" t="s">
        <v>75</v>
      </c>
      <c r="B10" s="79"/>
    </row>
    <row r="11" spans="1:20" x14ac:dyDescent="0.25">
      <c r="A11" s="4"/>
      <c r="B11" s="10"/>
    </row>
    <row r="12" spans="1:20" x14ac:dyDescent="0.25">
      <c r="A12" s="4" t="s">
        <v>36</v>
      </c>
      <c r="B12" s="78"/>
    </row>
    <row r="13" spans="1:20" x14ac:dyDescent="0.25">
      <c r="A13" s="4" t="s">
        <v>37</v>
      </c>
    </row>
    <row r="14" spans="1:20" x14ac:dyDescent="0.25">
      <c r="A14" s="4" t="s">
        <v>38</v>
      </c>
    </row>
    <row r="15" spans="1:20" x14ac:dyDescent="0.25">
      <c r="A15" s="4" t="s">
        <v>39</v>
      </c>
      <c r="B15" s="79"/>
    </row>
    <row r="16" spans="1:20" x14ac:dyDescent="0.25">
      <c r="A16" s="4"/>
      <c r="B16" s="10"/>
    </row>
    <row r="17" spans="1:2" x14ac:dyDescent="0.25">
      <c r="A17" s="4" t="s">
        <v>40</v>
      </c>
    </row>
    <row r="18" spans="1:2" x14ac:dyDescent="0.25">
      <c r="A18" s="4" t="s">
        <v>41</v>
      </c>
    </row>
    <row r="20" spans="1:2" ht="45" x14ac:dyDescent="0.25">
      <c r="A20" s="51"/>
      <c r="B20" s="52"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P77" sqref="AP77"/>
    </sheetView>
  </sheetViews>
  <sheetFormatPr defaultRowHeight="15" x14ac:dyDescent="0.25"/>
  <cols>
    <col min="1" max="1" width="13.140625" style="18" customWidth="1"/>
    <col min="2" max="2" width="17.42578125" style="57" customWidth="1"/>
    <col min="3" max="3" width="17.140625" style="10" customWidth="1"/>
    <col min="4" max="4" width="22.42578125" style="10" customWidth="1"/>
    <col min="5" max="5" width="9.140625" style="11" customWidth="1"/>
    <col min="6" max="6" width="9.5703125" style="38" bestFit="1" customWidth="1"/>
    <col min="7" max="7" width="12" style="38"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7" t="s">
        <v>3</v>
      </c>
      <c r="B3" s="29"/>
      <c r="C3" s="29"/>
      <c r="D3" s="29"/>
      <c r="E3" s="30"/>
      <c r="F3" s="37"/>
      <c r="G3" s="37"/>
      <c r="H3" s="30"/>
      <c r="I3" s="30"/>
      <c r="J3" s="31"/>
      <c r="K3" s="30"/>
      <c r="L3" s="32" t="s">
        <v>16</v>
      </c>
      <c r="M3" s="25"/>
      <c r="N3" s="24"/>
      <c r="O3" s="24"/>
      <c r="P3" s="25"/>
      <c r="Q3" s="24"/>
      <c r="R3" s="25"/>
      <c r="S3" s="25"/>
      <c r="T3" s="25"/>
      <c r="U3" s="24"/>
      <c r="V3" s="25"/>
      <c r="W3" s="24"/>
      <c r="X3" s="25"/>
      <c r="Y3" s="24"/>
      <c r="Z3" s="39" t="s">
        <v>68</v>
      </c>
      <c r="AA3" s="40"/>
      <c r="AB3" s="40"/>
      <c r="AC3" s="40"/>
      <c r="AD3" s="40"/>
      <c r="AE3" s="40"/>
      <c r="AF3" s="41" t="s">
        <v>67</v>
      </c>
      <c r="AG3" s="42"/>
      <c r="AH3" s="42"/>
      <c r="AI3" s="42"/>
      <c r="AJ3" s="43"/>
      <c r="AK3" s="42"/>
      <c r="AL3" s="42"/>
      <c r="AM3" s="43"/>
      <c r="AN3" s="44" t="s">
        <v>69</v>
      </c>
      <c r="AO3" s="45"/>
      <c r="AP3" s="46"/>
    </row>
    <row r="4" spans="1:42" s="75" customFormat="1" ht="35.25" customHeight="1" x14ac:dyDescent="0.25">
      <c r="A4" s="59" t="s">
        <v>70</v>
      </c>
      <c r="B4" s="60" t="s">
        <v>11</v>
      </c>
      <c r="C4" s="61" t="s">
        <v>42</v>
      </c>
      <c r="D4" s="61" t="s">
        <v>62</v>
      </c>
      <c r="E4" s="61" t="s">
        <v>12</v>
      </c>
      <c r="F4" s="62" t="s">
        <v>9</v>
      </c>
      <c r="G4" s="62" t="s">
        <v>10</v>
      </c>
      <c r="H4" s="61" t="s">
        <v>4</v>
      </c>
      <c r="I4" s="61" t="s">
        <v>13</v>
      </c>
      <c r="J4" s="63" t="s">
        <v>14</v>
      </c>
      <c r="K4" s="61" t="s">
        <v>15</v>
      </c>
      <c r="L4" s="64" t="s">
        <v>5</v>
      </c>
      <c r="M4" s="64" t="s">
        <v>6</v>
      </c>
      <c r="N4" s="65" t="s">
        <v>47</v>
      </c>
      <c r="O4" s="65" t="s">
        <v>48</v>
      </c>
      <c r="P4" s="64" t="s">
        <v>17</v>
      </c>
      <c r="Q4" s="65" t="s">
        <v>49</v>
      </c>
      <c r="R4" s="64" t="s">
        <v>32</v>
      </c>
      <c r="S4" s="64" t="s">
        <v>18</v>
      </c>
      <c r="T4" s="64" t="s">
        <v>19</v>
      </c>
      <c r="U4" s="65" t="s">
        <v>50</v>
      </c>
      <c r="V4" s="64" t="s">
        <v>51</v>
      </c>
      <c r="W4" s="65" t="s">
        <v>46</v>
      </c>
      <c r="X4" s="64" t="s">
        <v>20</v>
      </c>
      <c r="Y4" s="65" t="s">
        <v>60</v>
      </c>
      <c r="Z4" s="66" t="s">
        <v>52</v>
      </c>
      <c r="AA4" s="67" t="s">
        <v>21</v>
      </c>
      <c r="AB4" s="67" t="s">
        <v>23</v>
      </c>
      <c r="AC4" s="67" t="s">
        <v>24</v>
      </c>
      <c r="AD4" s="67" t="s">
        <v>7</v>
      </c>
      <c r="AE4" s="67" t="s">
        <v>8</v>
      </c>
      <c r="AF4" s="68" t="s">
        <v>22</v>
      </c>
      <c r="AG4" s="69" t="s">
        <v>25</v>
      </c>
      <c r="AH4" s="69" t="s">
        <v>26</v>
      </c>
      <c r="AI4" s="69" t="s">
        <v>27</v>
      </c>
      <c r="AJ4" s="69" t="s">
        <v>28</v>
      </c>
      <c r="AK4" s="69" t="s">
        <v>29</v>
      </c>
      <c r="AL4" s="70" t="s">
        <v>30</v>
      </c>
      <c r="AM4" s="71" t="s">
        <v>33</v>
      </c>
      <c r="AN4" s="72" t="s">
        <v>34</v>
      </c>
      <c r="AO4" s="73" t="s">
        <v>63</v>
      </c>
      <c r="AP4" s="74" t="s">
        <v>31</v>
      </c>
    </row>
    <row r="5" spans="1:42" x14ac:dyDescent="0.25">
      <c r="A5" s="85">
        <v>45163</v>
      </c>
      <c r="B5" s="86" t="s">
        <v>92</v>
      </c>
      <c r="C5" s="81">
        <v>3700002</v>
      </c>
      <c r="D5" s="81" t="s">
        <v>92</v>
      </c>
      <c r="E5" s="87">
        <v>10</v>
      </c>
      <c r="F5" s="88">
        <v>519645.85732608801</v>
      </c>
      <c r="G5" s="88">
        <v>6041053.0219735401</v>
      </c>
      <c r="H5" s="87" t="s">
        <v>93</v>
      </c>
      <c r="I5" s="87" t="s">
        <v>94</v>
      </c>
      <c r="J5" s="89" t="s">
        <v>92</v>
      </c>
      <c r="K5" s="87" t="s">
        <v>92</v>
      </c>
      <c r="L5" s="81" t="s">
        <v>95</v>
      </c>
      <c r="M5" s="81" t="s">
        <v>96</v>
      </c>
      <c r="N5" s="80">
        <v>1.18</v>
      </c>
      <c r="O5" s="80">
        <v>22</v>
      </c>
      <c r="P5" s="81" t="s">
        <v>97</v>
      </c>
      <c r="Q5" s="82"/>
      <c r="R5" s="81" t="s">
        <v>97</v>
      </c>
      <c r="S5" s="81" t="s">
        <v>98</v>
      </c>
      <c r="T5" s="81">
        <v>100</v>
      </c>
      <c r="U5" s="81">
        <v>1.2</v>
      </c>
      <c r="V5" s="81">
        <v>0.4</v>
      </c>
      <c r="W5" s="81">
        <v>0.6</v>
      </c>
      <c r="X5" s="81" t="s">
        <v>97</v>
      </c>
      <c r="Y5" s="81">
        <v>2.5</v>
      </c>
      <c r="Z5" s="81">
        <v>3.7</v>
      </c>
      <c r="AA5" s="81">
        <v>2</v>
      </c>
      <c r="AB5" s="81" t="s">
        <v>97</v>
      </c>
      <c r="AC5" s="81" t="s">
        <v>97</v>
      </c>
      <c r="AD5" s="81" t="s">
        <v>99</v>
      </c>
      <c r="AE5" s="81" t="s">
        <v>100</v>
      </c>
      <c r="AF5" s="20">
        <f>IF(ISBLANK(Z5), 0, IF(ISBLANK(N5) &lt; 0, 0,Z5 / N5))</f>
        <v>3.1355932203389836</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81"/>
      <c r="AO5" s="81"/>
      <c r="AP5" s="77" t="s">
        <v>195</v>
      </c>
    </row>
    <row r="6" spans="1:42" x14ac:dyDescent="0.25">
      <c r="A6" s="85">
        <v>45163</v>
      </c>
      <c r="B6" s="86" t="s">
        <v>92</v>
      </c>
      <c r="C6" s="81">
        <v>3700034</v>
      </c>
      <c r="D6" s="81" t="s">
        <v>92</v>
      </c>
      <c r="E6" s="87">
        <v>10</v>
      </c>
      <c r="F6" s="88">
        <v>518793.729136637</v>
      </c>
      <c r="G6" s="88">
        <v>6049041.4121688399</v>
      </c>
      <c r="H6" s="81" t="s">
        <v>101</v>
      </c>
      <c r="I6" s="87" t="s">
        <v>94</v>
      </c>
      <c r="J6" s="89" t="s">
        <v>92</v>
      </c>
      <c r="K6" s="81" t="s">
        <v>92</v>
      </c>
      <c r="L6" s="81" t="s">
        <v>95</v>
      </c>
      <c r="M6" s="81" t="s">
        <v>96</v>
      </c>
      <c r="N6" s="80">
        <v>0.7</v>
      </c>
      <c r="O6" s="80">
        <v>20</v>
      </c>
      <c r="P6" s="81" t="s">
        <v>98</v>
      </c>
      <c r="Q6" s="81">
        <v>0.37</v>
      </c>
      <c r="R6" s="81" t="s">
        <v>98</v>
      </c>
      <c r="S6" s="81" t="s">
        <v>98</v>
      </c>
      <c r="T6" s="81">
        <v>80</v>
      </c>
      <c r="U6" s="81">
        <v>0.5</v>
      </c>
      <c r="V6" s="81">
        <v>0</v>
      </c>
      <c r="W6" s="81">
        <v>0.5</v>
      </c>
      <c r="X6" s="81" t="s">
        <v>97</v>
      </c>
      <c r="Y6" s="81">
        <v>1</v>
      </c>
      <c r="Z6" s="81">
        <v>3.1</v>
      </c>
      <c r="AA6" s="81">
        <v>2</v>
      </c>
      <c r="AB6" s="81" t="s">
        <v>97</v>
      </c>
      <c r="AC6" s="81" t="s">
        <v>97</v>
      </c>
      <c r="AD6" s="81" t="s">
        <v>99</v>
      </c>
      <c r="AE6" s="81" t="s">
        <v>100</v>
      </c>
      <c r="AF6" s="20">
        <f t="shared" ref="AF6:AF11" si="0">IF(ISBLANK(Z6), 0, IF(ISBLANK(N6) &lt; 0, 0,Z6 / N6))</f>
        <v>4.4285714285714288</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14</v>
      </c>
      <c r="AM6" s="14" t="str">
        <f t="shared" ref="AM6:AM67" si="7">IF(ISBLANK(L6), "", IF(L6 = "Open Bottom Structure", "Passable", IF(L6 = "Other", "Unknown", IF(AL6 &lt; 15, "Passable", IF(AND(AL6 &gt;= 15,AL6 &lt;= 19), "Potential", IF(AL6 &gt; 19, "Barrier", ""))))))</f>
        <v>Passable</v>
      </c>
      <c r="AN6" s="81"/>
      <c r="AO6" s="81"/>
      <c r="AP6" s="77" t="s">
        <v>196</v>
      </c>
    </row>
    <row r="7" spans="1:42" x14ac:dyDescent="0.25">
      <c r="A7" s="85">
        <v>45163</v>
      </c>
      <c r="B7" s="86" t="s">
        <v>92</v>
      </c>
      <c r="C7" s="81">
        <v>3700010</v>
      </c>
      <c r="D7" s="81" t="s">
        <v>92</v>
      </c>
      <c r="E7" s="87">
        <v>10</v>
      </c>
      <c r="F7" s="88">
        <v>519142.92694488302</v>
      </c>
      <c r="G7" s="88">
        <v>6053231.2557512</v>
      </c>
      <c r="H7" s="81" t="s">
        <v>102</v>
      </c>
      <c r="I7" s="87" t="s">
        <v>94</v>
      </c>
      <c r="J7" s="89" t="s">
        <v>92</v>
      </c>
      <c r="K7" s="81" t="s">
        <v>92</v>
      </c>
      <c r="L7" s="81" t="s">
        <v>95</v>
      </c>
      <c r="M7" s="81" t="s">
        <v>103</v>
      </c>
      <c r="N7" s="83">
        <v>3.5</v>
      </c>
      <c r="O7" s="83">
        <v>25</v>
      </c>
      <c r="P7" s="81" t="s">
        <v>98</v>
      </c>
      <c r="Q7" s="81">
        <v>0.6</v>
      </c>
      <c r="R7" s="81" t="s">
        <v>98</v>
      </c>
      <c r="S7" s="81" t="s">
        <v>98</v>
      </c>
      <c r="T7" s="81">
        <v>25</v>
      </c>
      <c r="U7" s="81">
        <v>2.5</v>
      </c>
      <c r="V7" s="81">
        <v>0</v>
      </c>
      <c r="W7" s="81">
        <v>4</v>
      </c>
      <c r="X7" s="81" t="s">
        <v>97</v>
      </c>
      <c r="Y7" s="81">
        <v>1</v>
      </c>
      <c r="Z7" s="81">
        <v>5.2</v>
      </c>
      <c r="AA7" s="81">
        <v>1</v>
      </c>
      <c r="AB7" s="81" t="s">
        <v>98</v>
      </c>
      <c r="AC7" s="81" t="s">
        <v>98</v>
      </c>
      <c r="AD7" s="81" t="s">
        <v>99</v>
      </c>
      <c r="AE7" s="81" t="s">
        <v>104</v>
      </c>
      <c r="AF7" s="20">
        <f t="shared" si="0"/>
        <v>1.4857142857142858</v>
      </c>
      <c r="AG7" s="13">
        <f t="shared" si="1"/>
        <v>3</v>
      </c>
      <c r="AH7" s="7">
        <f t="shared" si="2"/>
        <v>5</v>
      </c>
      <c r="AI7" s="7">
        <f t="shared" si="3"/>
        <v>0</v>
      </c>
      <c r="AJ7" s="7">
        <f t="shared" si="4"/>
        <v>5</v>
      </c>
      <c r="AK7" s="7">
        <f t="shared" si="5"/>
        <v>6</v>
      </c>
      <c r="AL7" s="12">
        <f t="shared" si="6"/>
        <v>19</v>
      </c>
      <c r="AM7" s="14" t="str">
        <f t="shared" si="7"/>
        <v>Potential</v>
      </c>
      <c r="AN7" s="81"/>
      <c r="AO7" s="81"/>
      <c r="AP7" s="10" t="s">
        <v>197</v>
      </c>
    </row>
    <row r="8" spans="1:42" x14ac:dyDescent="0.25">
      <c r="A8" s="85">
        <v>45163</v>
      </c>
      <c r="B8" s="90" t="s">
        <v>92</v>
      </c>
      <c r="C8" s="81">
        <v>3700015</v>
      </c>
      <c r="D8" s="81" t="s">
        <v>92</v>
      </c>
      <c r="E8" s="87">
        <v>10</v>
      </c>
      <c r="F8" s="88">
        <v>517177.12739613402</v>
      </c>
      <c r="G8" s="88">
        <v>6054489.5188607601</v>
      </c>
      <c r="H8" s="81" t="s">
        <v>101</v>
      </c>
      <c r="I8" s="87" t="s">
        <v>94</v>
      </c>
      <c r="J8" s="91" t="s">
        <v>92</v>
      </c>
      <c r="K8" s="92" t="s">
        <v>92</v>
      </c>
      <c r="L8" s="81" t="s">
        <v>95</v>
      </c>
      <c r="M8" s="81" t="s">
        <v>96</v>
      </c>
      <c r="N8" s="83">
        <v>0.6</v>
      </c>
      <c r="O8" s="83">
        <v>22</v>
      </c>
      <c r="P8" s="81" t="s">
        <v>97</v>
      </c>
      <c r="Q8" s="82"/>
      <c r="R8" s="81" t="s">
        <v>97</v>
      </c>
      <c r="S8" s="81" t="s">
        <v>97</v>
      </c>
      <c r="T8" s="82"/>
      <c r="U8" s="81">
        <v>2.5</v>
      </c>
      <c r="V8" s="81">
        <v>0.3</v>
      </c>
      <c r="W8" s="81">
        <v>0.1</v>
      </c>
      <c r="X8" s="81" t="s">
        <v>97</v>
      </c>
      <c r="Y8" s="81">
        <v>3</v>
      </c>
      <c r="Z8" s="81">
        <v>1.1000000000000001</v>
      </c>
      <c r="AA8" s="81">
        <v>4</v>
      </c>
      <c r="AB8" s="81" t="s">
        <v>97</v>
      </c>
      <c r="AC8" s="81" t="s">
        <v>97</v>
      </c>
      <c r="AD8" s="81" t="s">
        <v>99</v>
      </c>
      <c r="AE8" s="81" t="s">
        <v>100</v>
      </c>
      <c r="AF8" s="20">
        <f t="shared" si="0"/>
        <v>1.8333333333333335</v>
      </c>
      <c r="AG8" s="13">
        <f t="shared" si="1"/>
        <v>3</v>
      </c>
      <c r="AH8" s="7">
        <f t="shared" si="2"/>
        <v>10</v>
      </c>
      <c r="AI8" s="7">
        <f t="shared" si="3"/>
        <v>10</v>
      </c>
      <c r="AJ8" s="7">
        <f t="shared" si="4"/>
        <v>10</v>
      </c>
      <c r="AK8" s="7">
        <f t="shared" si="5"/>
        <v>6</v>
      </c>
      <c r="AL8" s="12">
        <f t="shared" si="6"/>
        <v>39</v>
      </c>
      <c r="AM8" s="14" t="str">
        <f t="shared" si="7"/>
        <v>Barrier</v>
      </c>
      <c r="AN8" s="81"/>
      <c r="AO8" s="81"/>
      <c r="AP8" s="10" t="s">
        <v>198</v>
      </c>
    </row>
    <row r="9" spans="1:42" x14ac:dyDescent="0.25">
      <c r="A9" s="85">
        <v>45163</v>
      </c>
      <c r="B9" s="86" t="s">
        <v>92</v>
      </c>
      <c r="C9" s="81">
        <v>3701558</v>
      </c>
      <c r="D9" s="81" t="s">
        <v>92</v>
      </c>
      <c r="E9" s="87">
        <v>10</v>
      </c>
      <c r="F9" s="88">
        <v>513143.81074638502</v>
      </c>
      <c r="G9" s="88">
        <v>6067047.5373908402</v>
      </c>
      <c r="H9" s="93" t="s">
        <v>105</v>
      </c>
      <c r="I9" s="87" t="s">
        <v>94</v>
      </c>
      <c r="J9" s="89" t="s">
        <v>92</v>
      </c>
      <c r="K9" s="92" t="s">
        <v>92</v>
      </c>
      <c r="L9" s="81" t="s">
        <v>95</v>
      </c>
      <c r="M9" s="81" t="s">
        <v>106</v>
      </c>
      <c r="N9" s="83">
        <v>4.2</v>
      </c>
      <c r="O9" s="83">
        <v>26</v>
      </c>
      <c r="P9" s="81" t="s">
        <v>97</v>
      </c>
      <c r="Q9" s="82"/>
      <c r="R9" s="81" t="s">
        <v>97</v>
      </c>
      <c r="S9" s="81" t="s">
        <v>97</v>
      </c>
      <c r="T9" s="82"/>
      <c r="U9" s="81">
        <v>1.5</v>
      </c>
      <c r="V9" s="81">
        <v>0.3</v>
      </c>
      <c r="W9" s="81">
        <v>0.4</v>
      </c>
      <c r="X9" s="81" t="s">
        <v>97</v>
      </c>
      <c r="Y9" s="81">
        <v>0</v>
      </c>
      <c r="Z9" s="81">
        <v>3.5</v>
      </c>
      <c r="AA9" s="81">
        <v>1</v>
      </c>
      <c r="AB9" s="81" t="s">
        <v>97</v>
      </c>
      <c r="AC9" s="81" t="s">
        <v>98</v>
      </c>
      <c r="AD9" s="81" t="s">
        <v>99</v>
      </c>
      <c r="AE9" s="81" t="s">
        <v>107</v>
      </c>
      <c r="AF9" s="20">
        <f t="shared" si="0"/>
        <v>0.83333333333333326</v>
      </c>
      <c r="AG9" s="13">
        <f t="shared" si="1"/>
        <v>3</v>
      </c>
      <c r="AH9" s="7">
        <f t="shared" si="2"/>
        <v>10</v>
      </c>
      <c r="AI9" s="7">
        <f t="shared" si="3"/>
        <v>10</v>
      </c>
      <c r="AJ9" s="7">
        <f t="shared" si="4"/>
        <v>0</v>
      </c>
      <c r="AK9" s="7">
        <f t="shared" si="5"/>
        <v>0</v>
      </c>
      <c r="AL9" s="12">
        <f t="shared" si="6"/>
        <v>23</v>
      </c>
      <c r="AM9" s="14" t="str">
        <f t="shared" si="7"/>
        <v>Barrier</v>
      </c>
      <c r="AN9" s="81"/>
      <c r="AO9" s="81"/>
      <c r="AP9" s="10" t="s">
        <v>199</v>
      </c>
    </row>
    <row r="10" spans="1:42" x14ac:dyDescent="0.25">
      <c r="A10" s="85">
        <v>45163</v>
      </c>
      <c r="B10" s="86" t="s">
        <v>92</v>
      </c>
      <c r="C10" s="81">
        <v>3702598</v>
      </c>
      <c r="D10" s="81" t="s">
        <v>92</v>
      </c>
      <c r="E10" s="87">
        <v>10</v>
      </c>
      <c r="F10" s="88">
        <v>513534.47970618802</v>
      </c>
      <c r="G10" s="88">
        <v>6067127.51187874</v>
      </c>
      <c r="H10" s="93" t="s">
        <v>105</v>
      </c>
      <c r="I10" s="87" t="s">
        <v>108</v>
      </c>
      <c r="J10" s="89" t="s">
        <v>92</v>
      </c>
      <c r="K10" s="81" t="s">
        <v>92</v>
      </c>
      <c r="L10" s="81" t="s">
        <v>109</v>
      </c>
      <c r="N10" s="84"/>
      <c r="O10" s="84"/>
      <c r="P10" s="82"/>
      <c r="Q10" s="84"/>
      <c r="R10" s="82"/>
      <c r="S10" s="82"/>
      <c r="T10" s="84"/>
      <c r="U10" s="84"/>
      <c r="V10" s="82"/>
      <c r="W10" s="84"/>
      <c r="X10" s="82"/>
      <c r="Y10" s="84"/>
      <c r="Z10" s="84"/>
      <c r="AA10" s="82"/>
      <c r="AB10" s="81" t="s">
        <v>97</v>
      </c>
      <c r="AC10" s="81" t="s">
        <v>97</v>
      </c>
      <c r="AD10" s="82"/>
      <c r="AE10" s="82"/>
      <c r="AF10" s="20">
        <f t="shared" si="0"/>
        <v>0</v>
      </c>
      <c r="AG10" s="13">
        <f t="shared" si="1"/>
        <v>0</v>
      </c>
      <c r="AH10" s="7">
        <f t="shared" si="2"/>
        <v>0</v>
      </c>
      <c r="AI10" s="7">
        <f t="shared" si="3"/>
        <v>0</v>
      </c>
      <c r="AJ10" s="7">
        <f t="shared" si="4"/>
        <v>0</v>
      </c>
      <c r="AK10" s="7">
        <f t="shared" si="5"/>
        <v>0</v>
      </c>
      <c r="AL10" s="12">
        <f t="shared" si="6"/>
        <v>0</v>
      </c>
      <c r="AM10" s="14" t="str">
        <f t="shared" si="7"/>
        <v>Unknown</v>
      </c>
      <c r="AN10" s="82"/>
      <c r="AO10" s="84"/>
      <c r="AP10" s="10" t="s">
        <v>200</v>
      </c>
    </row>
    <row r="11" spans="1:42" x14ac:dyDescent="0.25">
      <c r="A11" s="85">
        <v>45163</v>
      </c>
      <c r="B11" s="86" t="s">
        <v>92</v>
      </c>
      <c r="C11" s="93">
        <v>2200002</v>
      </c>
      <c r="D11" s="81" t="s">
        <v>92</v>
      </c>
      <c r="E11" s="81">
        <v>10</v>
      </c>
      <c r="F11" s="94">
        <v>497867.18890571699</v>
      </c>
      <c r="G11" s="94">
        <v>6093686.5585235199</v>
      </c>
      <c r="H11" s="93" t="s">
        <v>110</v>
      </c>
      <c r="I11" s="87" t="s">
        <v>111</v>
      </c>
      <c r="J11" s="89" t="s">
        <v>92</v>
      </c>
      <c r="K11" s="81" t="s">
        <v>112</v>
      </c>
      <c r="L11" s="81" t="s">
        <v>95</v>
      </c>
      <c r="M11" s="81" t="s">
        <v>96</v>
      </c>
      <c r="N11" s="83">
        <v>1.2</v>
      </c>
      <c r="O11" s="83">
        <v>60</v>
      </c>
      <c r="P11" s="81" t="s">
        <v>97</v>
      </c>
      <c r="Q11" s="84"/>
      <c r="R11" s="81" t="s">
        <v>97</v>
      </c>
      <c r="S11" s="81" t="s">
        <v>97</v>
      </c>
      <c r="T11" s="84"/>
      <c r="U11" s="83">
        <v>9</v>
      </c>
      <c r="V11" s="81">
        <v>0.65</v>
      </c>
      <c r="W11" s="83">
        <v>1</v>
      </c>
      <c r="X11" s="81" t="s">
        <v>97</v>
      </c>
      <c r="Y11" s="83">
        <v>0.5</v>
      </c>
      <c r="Z11" s="83">
        <v>3</v>
      </c>
      <c r="AA11" s="81">
        <v>0.5</v>
      </c>
      <c r="AB11" s="81" t="s">
        <v>97</v>
      </c>
      <c r="AC11" s="81" t="s">
        <v>97</v>
      </c>
      <c r="AD11" s="81" t="s">
        <v>99</v>
      </c>
      <c r="AE11" s="81" t="s">
        <v>104</v>
      </c>
      <c r="AF11" s="20">
        <f t="shared" si="0"/>
        <v>2.5</v>
      </c>
      <c r="AG11" s="13">
        <f t="shared" si="1"/>
        <v>6</v>
      </c>
      <c r="AH11" s="7">
        <f t="shared" si="2"/>
        <v>10</v>
      </c>
      <c r="AI11" s="7">
        <f t="shared" si="3"/>
        <v>10</v>
      </c>
      <c r="AJ11" s="7">
        <f>IF(Y11&lt;1,0,IF(AND(Y11&gt;=1,Y11&lt;3),5,IF(Y11&gt;=3,10,0)))</f>
        <v>0</v>
      </c>
      <c r="AK11" s="7">
        <f t="shared" si="5"/>
        <v>6</v>
      </c>
      <c r="AL11" s="12">
        <f t="shared" si="6"/>
        <v>32</v>
      </c>
      <c r="AM11" s="14" t="str">
        <f t="shared" si="7"/>
        <v>Barrier</v>
      </c>
      <c r="AN11" s="81"/>
      <c r="AO11" s="81"/>
      <c r="AP11" s="10" t="s">
        <v>201</v>
      </c>
    </row>
    <row r="12" spans="1:42" x14ac:dyDescent="0.25">
      <c r="A12" s="85">
        <v>45163</v>
      </c>
      <c r="B12" s="86" t="s">
        <v>92</v>
      </c>
      <c r="C12" s="81">
        <v>2200779</v>
      </c>
      <c r="D12" s="81" t="s">
        <v>92</v>
      </c>
      <c r="E12" s="87">
        <v>10</v>
      </c>
      <c r="F12" s="88">
        <v>500614.78474495001</v>
      </c>
      <c r="G12" s="88">
        <v>6089785.7812857497</v>
      </c>
      <c r="H12" s="87" t="s">
        <v>113</v>
      </c>
      <c r="I12" s="87" t="s">
        <v>114</v>
      </c>
      <c r="J12" s="89" t="s">
        <v>92</v>
      </c>
      <c r="K12" s="87" t="s">
        <v>112</v>
      </c>
      <c r="L12" s="81" t="s">
        <v>95</v>
      </c>
      <c r="M12" s="81" t="s">
        <v>96</v>
      </c>
      <c r="N12" s="83">
        <v>2.5</v>
      </c>
      <c r="O12" s="83">
        <v>34</v>
      </c>
      <c r="P12" s="81" t="s">
        <v>97</v>
      </c>
      <c r="Q12" s="82"/>
      <c r="R12" s="81" t="s">
        <v>97</v>
      </c>
      <c r="S12" s="81" t="s">
        <v>97</v>
      </c>
      <c r="T12" s="84"/>
      <c r="U12" s="83">
        <v>2</v>
      </c>
      <c r="V12" s="81">
        <v>0</v>
      </c>
      <c r="W12" s="83">
        <v>1</v>
      </c>
      <c r="X12" s="81" t="s">
        <v>98</v>
      </c>
      <c r="Y12" s="83">
        <v>0.5</v>
      </c>
      <c r="Z12" s="83">
        <v>4</v>
      </c>
      <c r="AA12" s="81">
        <v>0.5</v>
      </c>
      <c r="AB12" s="81" t="s">
        <v>98</v>
      </c>
      <c r="AC12" s="81" t="s">
        <v>97</v>
      </c>
      <c r="AD12" s="81" t="s">
        <v>99</v>
      </c>
      <c r="AE12" s="81" t="s">
        <v>104</v>
      </c>
      <c r="AF12" s="20">
        <f t="shared" ref="AF12:AF72" si="8">IF(ISBLANK(Z12), 0, IF(ISBLANK(N12) &lt; 0, 0,Z12 / N12))</f>
        <v>1.6</v>
      </c>
      <c r="AG12" s="13">
        <f t="shared" si="1"/>
        <v>6</v>
      </c>
      <c r="AH12" s="7">
        <f t="shared" si="2"/>
        <v>10</v>
      </c>
      <c r="AI12" s="7">
        <f t="shared" si="3"/>
        <v>0</v>
      </c>
      <c r="AJ12" s="7">
        <f t="shared" si="4"/>
        <v>0</v>
      </c>
      <c r="AK12" s="7">
        <f t="shared" si="5"/>
        <v>6</v>
      </c>
      <c r="AL12" s="12">
        <f t="shared" ref="AL12:AL70" si="9">AG12 + AH12 + AI12 + AJ12 + AK12</f>
        <v>22</v>
      </c>
      <c r="AM12" s="14" t="str">
        <f t="shared" si="7"/>
        <v>Barrier</v>
      </c>
      <c r="AN12" s="81"/>
      <c r="AO12" s="83"/>
      <c r="AP12" s="10" t="s">
        <v>202</v>
      </c>
    </row>
    <row r="13" spans="1:42" ht="30" x14ac:dyDescent="0.25">
      <c r="A13" s="85">
        <v>45163</v>
      </c>
      <c r="B13" s="86" t="s">
        <v>92</v>
      </c>
      <c r="C13" s="81">
        <v>2200604</v>
      </c>
      <c r="D13" s="81" t="s">
        <v>92</v>
      </c>
      <c r="E13" s="87">
        <v>10</v>
      </c>
      <c r="F13" s="88">
        <v>502003.22196936898</v>
      </c>
      <c r="G13" s="88">
        <v>6087766.4907146497</v>
      </c>
      <c r="H13" s="87" t="s">
        <v>115</v>
      </c>
      <c r="I13" s="87" t="s">
        <v>111</v>
      </c>
      <c r="J13" s="95" t="s">
        <v>92</v>
      </c>
      <c r="K13" s="87" t="s">
        <v>116</v>
      </c>
      <c r="L13" s="81" t="s">
        <v>95</v>
      </c>
      <c r="M13" s="81" t="s">
        <v>96</v>
      </c>
      <c r="N13" s="83">
        <v>1.2</v>
      </c>
      <c r="O13" s="83">
        <v>50</v>
      </c>
      <c r="P13" s="81" t="s">
        <v>97</v>
      </c>
      <c r="Q13" s="82"/>
      <c r="R13" s="81" t="s">
        <v>97</v>
      </c>
      <c r="S13" s="81" t="s">
        <v>97</v>
      </c>
      <c r="T13" s="82"/>
      <c r="U13" s="83">
        <v>6</v>
      </c>
      <c r="V13" s="81">
        <v>0.8</v>
      </c>
      <c r="W13" s="83">
        <v>0.6</v>
      </c>
      <c r="X13" s="81" t="s">
        <v>98</v>
      </c>
      <c r="Y13" s="83">
        <v>1</v>
      </c>
      <c r="Z13" s="83">
        <v>1.9</v>
      </c>
      <c r="AA13" s="81">
        <v>3</v>
      </c>
      <c r="AB13" s="81" t="s">
        <v>98</v>
      </c>
      <c r="AC13" s="81" t="s">
        <v>97</v>
      </c>
      <c r="AD13" s="81" t="s">
        <v>99</v>
      </c>
      <c r="AE13" s="81" t="s">
        <v>104</v>
      </c>
      <c r="AF13" s="20">
        <f t="shared" si="8"/>
        <v>1.5833333333333333</v>
      </c>
      <c r="AG13" s="13">
        <f t="shared" si="1"/>
        <v>6</v>
      </c>
      <c r="AH13" s="7">
        <f t="shared" si="2"/>
        <v>10</v>
      </c>
      <c r="AI13" s="7">
        <f t="shared" si="3"/>
        <v>10</v>
      </c>
      <c r="AJ13" s="7">
        <f t="shared" si="4"/>
        <v>5</v>
      </c>
      <c r="AK13" s="7">
        <f t="shared" si="5"/>
        <v>6</v>
      </c>
      <c r="AL13" s="12">
        <f t="shared" si="9"/>
        <v>37</v>
      </c>
      <c r="AM13" s="14" t="str">
        <f t="shared" si="7"/>
        <v>Barrier</v>
      </c>
      <c r="AN13" s="81"/>
      <c r="AO13" s="83"/>
      <c r="AP13" s="10" t="s">
        <v>203</v>
      </c>
    </row>
    <row r="14" spans="1:42" ht="30" x14ac:dyDescent="0.25">
      <c r="A14" s="85">
        <v>45163</v>
      </c>
      <c r="B14" s="86" t="s">
        <v>92</v>
      </c>
      <c r="C14" s="81">
        <v>2200026</v>
      </c>
      <c r="D14" s="81" t="s">
        <v>92</v>
      </c>
      <c r="E14" s="87">
        <v>10</v>
      </c>
      <c r="F14" s="88">
        <v>503356.41788658203</v>
      </c>
      <c r="G14" s="88">
        <v>6085973.8731182097</v>
      </c>
      <c r="H14" s="87" t="s">
        <v>117</v>
      </c>
      <c r="I14" s="87" t="s">
        <v>111</v>
      </c>
      <c r="J14" s="95" t="s">
        <v>92</v>
      </c>
      <c r="K14" s="87" t="s">
        <v>116</v>
      </c>
      <c r="L14" s="81" t="s">
        <v>95</v>
      </c>
      <c r="M14" s="81" t="s">
        <v>96</v>
      </c>
      <c r="N14" s="83">
        <v>0.9</v>
      </c>
      <c r="O14" s="83">
        <v>40</v>
      </c>
      <c r="P14" s="81" t="s">
        <v>97</v>
      </c>
      <c r="Q14" s="82"/>
      <c r="R14" s="81" t="s">
        <v>97</v>
      </c>
      <c r="S14" s="81" t="s">
        <v>97</v>
      </c>
      <c r="T14" s="82"/>
      <c r="U14" s="83">
        <v>5</v>
      </c>
      <c r="V14" s="81">
        <v>0.4</v>
      </c>
      <c r="W14" s="83">
        <v>1.3</v>
      </c>
      <c r="X14" s="81" t="s">
        <v>97</v>
      </c>
      <c r="Y14" s="83">
        <v>3</v>
      </c>
      <c r="Z14" s="83">
        <v>3.3</v>
      </c>
      <c r="AA14" s="81">
        <v>4</v>
      </c>
      <c r="AB14" s="81" t="s">
        <v>98</v>
      </c>
      <c r="AC14" s="81" t="s">
        <v>97</v>
      </c>
      <c r="AD14" s="81" t="s">
        <v>99</v>
      </c>
      <c r="AE14" s="81" t="s">
        <v>104</v>
      </c>
      <c r="AF14" s="20">
        <f t="shared" si="8"/>
        <v>3.6666666666666665</v>
      </c>
      <c r="AG14" s="13">
        <f t="shared" si="1"/>
        <v>6</v>
      </c>
      <c r="AH14" s="7">
        <f t="shared" si="2"/>
        <v>10</v>
      </c>
      <c r="AI14" s="7">
        <f t="shared" si="3"/>
        <v>10</v>
      </c>
      <c r="AJ14" s="7">
        <f t="shared" si="4"/>
        <v>10</v>
      </c>
      <c r="AK14" s="7">
        <f t="shared" si="5"/>
        <v>6</v>
      </c>
      <c r="AL14" s="12">
        <f t="shared" si="9"/>
        <v>42</v>
      </c>
      <c r="AM14" s="14" t="str">
        <f t="shared" si="7"/>
        <v>Barrier</v>
      </c>
      <c r="AN14" s="81"/>
      <c r="AO14" s="83"/>
      <c r="AP14" s="10" t="s">
        <v>204</v>
      </c>
    </row>
    <row r="15" spans="1:42" x14ac:dyDescent="0.25">
      <c r="A15" s="85">
        <v>45163</v>
      </c>
      <c r="B15" s="86" t="s">
        <v>92</v>
      </c>
      <c r="C15" s="81">
        <v>2200119</v>
      </c>
      <c r="D15" s="81" t="s">
        <v>92</v>
      </c>
      <c r="E15" s="87">
        <v>10</v>
      </c>
      <c r="F15" s="88">
        <v>503934.25831870502</v>
      </c>
      <c r="G15" s="88">
        <v>6084297.1236128798</v>
      </c>
      <c r="H15" s="87" t="s">
        <v>118</v>
      </c>
      <c r="I15" s="87" t="s">
        <v>119</v>
      </c>
      <c r="J15" s="95" t="s">
        <v>92</v>
      </c>
      <c r="K15" s="87" t="s">
        <v>120</v>
      </c>
      <c r="L15" s="81" t="s">
        <v>121</v>
      </c>
      <c r="M15" s="81" t="s">
        <v>122</v>
      </c>
      <c r="N15" s="83">
        <v>6</v>
      </c>
      <c r="O15" s="83">
        <v>7.5</v>
      </c>
      <c r="P15" s="82"/>
      <c r="Q15" s="82"/>
      <c r="R15" s="82"/>
      <c r="S15" s="82"/>
      <c r="T15" s="84"/>
      <c r="U15" s="84"/>
      <c r="V15" s="82"/>
      <c r="W15" s="84"/>
      <c r="X15" s="82"/>
      <c r="Y15" s="84"/>
      <c r="Z15" s="84"/>
      <c r="AA15" s="82"/>
      <c r="AB15" s="81" t="s">
        <v>97</v>
      </c>
      <c r="AC15" s="81" t="s">
        <v>97</v>
      </c>
      <c r="AD15" s="82"/>
      <c r="AE15" s="82"/>
      <c r="AF15" s="20">
        <f t="shared" si="8"/>
        <v>0</v>
      </c>
      <c r="AG15" s="13">
        <f t="shared" si="1"/>
        <v>0</v>
      </c>
      <c r="AH15" s="7">
        <f t="shared" si="2"/>
        <v>0</v>
      </c>
      <c r="AI15" s="7">
        <f t="shared" si="3"/>
        <v>0</v>
      </c>
      <c r="AJ15" s="7">
        <f t="shared" si="4"/>
        <v>0</v>
      </c>
      <c r="AK15" s="7">
        <f t="shared" si="5"/>
        <v>0</v>
      </c>
      <c r="AL15" s="12">
        <f t="shared" si="9"/>
        <v>0</v>
      </c>
      <c r="AM15" s="14" t="str">
        <f t="shared" si="7"/>
        <v>Passable</v>
      </c>
      <c r="AN15" s="82"/>
      <c r="AO15" s="84"/>
      <c r="AP15" s="10" t="s">
        <v>205</v>
      </c>
    </row>
    <row r="16" spans="1:42" x14ac:dyDescent="0.25">
      <c r="A16" s="85">
        <v>45163</v>
      </c>
      <c r="B16" s="86" t="s">
        <v>92</v>
      </c>
      <c r="C16" s="81">
        <v>2200114</v>
      </c>
      <c r="D16" s="81" t="s">
        <v>92</v>
      </c>
      <c r="E16" s="87">
        <v>10</v>
      </c>
      <c r="F16" s="88">
        <v>503758.421631723</v>
      </c>
      <c r="G16" s="88">
        <v>6084286.4836672395</v>
      </c>
      <c r="H16" s="87" t="s">
        <v>123</v>
      </c>
      <c r="I16" s="87" t="s">
        <v>124</v>
      </c>
      <c r="J16" s="95" t="s">
        <v>92</v>
      </c>
      <c r="K16" s="87" t="s">
        <v>125</v>
      </c>
      <c r="L16" s="81" t="s">
        <v>121</v>
      </c>
      <c r="M16" s="81" t="s">
        <v>122</v>
      </c>
      <c r="N16" s="83">
        <v>6</v>
      </c>
      <c r="O16" s="83">
        <v>7</v>
      </c>
      <c r="P16" s="82"/>
      <c r="Q16" s="82"/>
      <c r="R16" s="82"/>
      <c r="S16" s="82"/>
      <c r="T16" s="84"/>
      <c r="U16" s="84"/>
      <c r="V16" s="82"/>
      <c r="W16" s="84"/>
      <c r="X16" s="82"/>
      <c r="Y16" s="84"/>
      <c r="Z16" s="84"/>
      <c r="AA16" s="82"/>
      <c r="AB16" s="81" t="s">
        <v>97</v>
      </c>
      <c r="AC16" s="81" t="s">
        <v>97</v>
      </c>
      <c r="AD16" s="82"/>
      <c r="AE16" s="82"/>
      <c r="AF16" s="20">
        <f t="shared" si="8"/>
        <v>0</v>
      </c>
      <c r="AG16" s="13">
        <f t="shared" si="1"/>
        <v>0</v>
      </c>
      <c r="AH16" s="7">
        <f t="shared" si="2"/>
        <v>0</v>
      </c>
      <c r="AI16" s="7">
        <f t="shared" si="3"/>
        <v>0</v>
      </c>
      <c r="AJ16" s="7">
        <f t="shared" si="4"/>
        <v>0</v>
      </c>
      <c r="AK16" s="7">
        <f t="shared" si="5"/>
        <v>0</v>
      </c>
      <c r="AL16" s="12">
        <f t="shared" si="9"/>
        <v>0</v>
      </c>
      <c r="AM16" s="14" t="str">
        <f t="shared" si="7"/>
        <v>Passable</v>
      </c>
      <c r="AN16" s="82"/>
      <c r="AO16" s="84"/>
      <c r="AP16" s="10" t="s">
        <v>206</v>
      </c>
    </row>
    <row r="17" spans="1:42" x14ac:dyDescent="0.25">
      <c r="A17" s="85">
        <v>45163</v>
      </c>
      <c r="B17" s="86" t="s">
        <v>92</v>
      </c>
      <c r="C17" s="81">
        <v>2200014</v>
      </c>
      <c r="D17" s="81" t="s">
        <v>92</v>
      </c>
      <c r="E17" s="87">
        <v>10</v>
      </c>
      <c r="F17" s="88">
        <v>504410.83121207799</v>
      </c>
      <c r="G17" s="88">
        <v>6084420.2117169602</v>
      </c>
      <c r="H17" s="87" t="s">
        <v>123</v>
      </c>
      <c r="I17" s="87" t="s">
        <v>111</v>
      </c>
      <c r="J17" s="95" t="s">
        <v>92</v>
      </c>
      <c r="K17" s="87" t="s">
        <v>116</v>
      </c>
      <c r="L17" s="81" t="s">
        <v>95</v>
      </c>
      <c r="M17" s="81" t="s">
        <v>96</v>
      </c>
      <c r="N17" s="83">
        <v>2.5</v>
      </c>
      <c r="O17" s="83">
        <v>35</v>
      </c>
      <c r="P17" s="81" t="s">
        <v>97</v>
      </c>
      <c r="Q17" s="84"/>
      <c r="R17" s="81" t="s">
        <v>97</v>
      </c>
      <c r="S17" s="81" t="s">
        <v>97</v>
      </c>
      <c r="T17" s="82"/>
      <c r="U17" s="83">
        <v>5</v>
      </c>
      <c r="V17" s="81">
        <v>0</v>
      </c>
      <c r="W17" s="83">
        <v>1.5</v>
      </c>
      <c r="X17" s="81" t="s">
        <v>97</v>
      </c>
      <c r="Y17" s="83">
        <v>2</v>
      </c>
      <c r="Z17" s="83">
        <v>7</v>
      </c>
      <c r="AA17" s="81">
        <v>0</v>
      </c>
      <c r="AB17" s="81" t="s">
        <v>98</v>
      </c>
      <c r="AC17" s="81" t="s">
        <v>98</v>
      </c>
      <c r="AD17" s="81" t="s">
        <v>99</v>
      </c>
      <c r="AE17" s="81" t="s">
        <v>104</v>
      </c>
      <c r="AF17" s="20">
        <f t="shared" si="8"/>
        <v>2.8</v>
      </c>
      <c r="AG17" s="13">
        <f t="shared" si="1"/>
        <v>6</v>
      </c>
      <c r="AH17" s="7">
        <f t="shared" si="2"/>
        <v>10</v>
      </c>
      <c r="AI17" s="7">
        <f t="shared" si="3"/>
        <v>0</v>
      </c>
      <c r="AJ17" s="7">
        <f t="shared" si="4"/>
        <v>5</v>
      </c>
      <c r="AK17" s="7">
        <f t="shared" si="5"/>
        <v>6</v>
      </c>
      <c r="AL17" s="12">
        <f t="shared" si="9"/>
        <v>27</v>
      </c>
      <c r="AM17" s="14" t="str">
        <f t="shared" si="7"/>
        <v>Barrier</v>
      </c>
      <c r="AN17" s="81"/>
      <c r="AO17" s="83"/>
      <c r="AP17" s="10" t="s">
        <v>207</v>
      </c>
    </row>
    <row r="18" spans="1:42" x14ac:dyDescent="0.25">
      <c r="A18" s="85">
        <v>45164</v>
      </c>
      <c r="B18" s="86" t="s">
        <v>92</v>
      </c>
      <c r="C18" s="81">
        <v>3702044</v>
      </c>
      <c r="D18" s="81" t="s">
        <v>126</v>
      </c>
      <c r="E18" s="87">
        <v>10</v>
      </c>
      <c r="F18" s="88">
        <v>524200.20420063898</v>
      </c>
      <c r="G18" s="88">
        <v>6015297.5099070696</v>
      </c>
      <c r="H18" s="87" t="s">
        <v>127</v>
      </c>
      <c r="I18" s="87" t="s">
        <v>94</v>
      </c>
      <c r="J18" s="95" t="s">
        <v>92</v>
      </c>
      <c r="K18" s="87" t="s">
        <v>92</v>
      </c>
      <c r="L18" s="81" t="s">
        <v>95</v>
      </c>
      <c r="M18" s="81" t="s">
        <v>96</v>
      </c>
      <c r="N18" s="83">
        <v>1.2</v>
      </c>
      <c r="O18" s="83">
        <v>30</v>
      </c>
      <c r="P18" s="81" t="s">
        <v>98</v>
      </c>
      <c r="Q18" s="81">
        <v>0.9</v>
      </c>
      <c r="R18" s="81" t="s">
        <v>98</v>
      </c>
      <c r="S18" s="81" t="s">
        <v>98</v>
      </c>
      <c r="T18" s="83">
        <v>100</v>
      </c>
      <c r="U18" s="83">
        <v>5</v>
      </c>
      <c r="V18" s="81">
        <v>0</v>
      </c>
      <c r="W18" s="83">
        <v>1.6</v>
      </c>
      <c r="X18" s="81" t="s">
        <v>97</v>
      </c>
      <c r="Y18" s="83">
        <v>2</v>
      </c>
      <c r="Z18" s="83">
        <v>2.1</v>
      </c>
      <c r="AA18" s="81">
        <v>2</v>
      </c>
      <c r="AB18" s="81" t="s">
        <v>98</v>
      </c>
      <c r="AC18" s="81" t="s">
        <v>97</v>
      </c>
      <c r="AD18" s="81" t="s">
        <v>99</v>
      </c>
      <c r="AE18" s="81" t="s">
        <v>100</v>
      </c>
      <c r="AF18" s="20">
        <f t="shared" si="8"/>
        <v>1.7500000000000002</v>
      </c>
      <c r="AG18" s="13">
        <f t="shared" si="1"/>
        <v>6</v>
      </c>
      <c r="AH18" s="7">
        <f t="shared" si="2"/>
        <v>0</v>
      </c>
      <c r="AI18" s="7">
        <f t="shared" si="3"/>
        <v>0</v>
      </c>
      <c r="AJ18" s="7">
        <f t="shared" si="4"/>
        <v>5</v>
      </c>
      <c r="AK18" s="7">
        <f t="shared" si="5"/>
        <v>6</v>
      </c>
      <c r="AL18" s="12">
        <f t="shared" si="9"/>
        <v>17</v>
      </c>
      <c r="AM18" s="14" t="str">
        <f t="shared" si="7"/>
        <v>Potential</v>
      </c>
      <c r="AN18" s="81"/>
      <c r="AO18" s="83"/>
      <c r="AP18" s="10" t="s">
        <v>208</v>
      </c>
    </row>
    <row r="19" spans="1:42" x14ac:dyDescent="0.25">
      <c r="A19" s="85">
        <v>45164</v>
      </c>
      <c r="B19" s="86" t="s">
        <v>92</v>
      </c>
      <c r="C19" s="81">
        <v>3701553</v>
      </c>
      <c r="D19" s="81" t="s">
        <v>126</v>
      </c>
      <c r="E19" s="87">
        <v>10</v>
      </c>
      <c r="F19" s="88">
        <v>524034.67653235397</v>
      </c>
      <c r="G19" s="88">
        <v>6015621.2725865096</v>
      </c>
      <c r="H19" s="87" t="s">
        <v>127</v>
      </c>
      <c r="I19" s="87" t="s">
        <v>128</v>
      </c>
      <c r="J19" s="89" t="s">
        <v>92</v>
      </c>
      <c r="K19" s="87" t="s">
        <v>92</v>
      </c>
      <c r="L19" s="81" t="s">
        <v>95</v>
      </c>
      <c r="M19" s="81" t="s">
        <v>96</v>
      </c>
      <c r="N19" s="83">
        <v>0.8</v>
      </c>
      <c r="O19" s="83">
        <v>12</v>
      </c>
      <c r="P19" s="81" t="s">
        <v>97</v>
      </c>
      <c r="Q19" s="82"/>
      <c r="R19" s="81" t="s">
        <v>97</v>
      </c>
      <c r="S19" s="81" t="s">
        <v>98</v>
      </c>
      <c r="T19" s="83">
        <v>80</v>
      </c>
      <c r="U19" s="83">
        <v>1.5</v>
      </c>
      <c r="V19" s="81">
        <v>0</v>
      </c>
      <c r="W19" s="83">
        <v>0.6</v>
      </c>
      <c r="X19" s="81" t="s">
        <v>97</v>
      </c>
      <c r="Y19" s="83">
        <v>2.5</v>
      </c>
      <c r="Z19" s="83">
        <v>2.4</v>
      </c>
      <c r="AA19" s="81">
        <v>2</v>
      </c>
      <c r="AB19" s="81" t="s">
        <v>97</v>
      </c>
      <c r="AC19" s="81" t="s">
        <v>97</v>
      </c>
      <c r="AD19" s="81" t="s">
        <v>99</v>
      </c>
      <c r="AE19" s="81" t="s">
        <v>100</v>
      </c>
      <c r="AF19" s="20">
        <f t="shared" si="8"/>
        <v>2.9999999999999996</v>
      </c>
      <c r="AG19" s="13">
        <f t="shared" si="1"/>
        <v>0</v>
      </c>
      <c r="AH19" s="7">
        <f t="shared" si="2"/>
        <v>10</v>
      </c>
      <c r="AI19" s="7">
        <f t="shared" si="3"/>
        <v>0</v>
      </c>
      <c r="AJ19" s="7">
        <f t="shared" si="4"/>
        <v>5</v>
      </c>
      <c r="AK19" s="7">
        <f t="shared" si="5"/>
        <v>6</v>
      </c>
      <c r="AL19" s="12">
        <f t="shared" si="9"/>
        <v>21</v>
      </c>
      <c r="AM19" s="14" t="str">
        <f t="shared" si="7"/>
        <v>Barrier</v>
      </c>
      <c r="AN19" s="81"/>
      <c r="AO19" s="83"/>
      <c r="AP19" s="10" t="s">
        <v>209</v>
      </c>
    </row>
    <row r="20" spans="1:42" x14ac:dyDescent="0.25">
      <c r="A20" s="85">
        <v>45164</v>
      </c>
      <c r="B20" s="86" t="s">
        <v>92</v>
      </c>
      <c r="C20" s="81">
        <v>3701554</v>
      </c>
      <c r="D20" s="81" t="s">
        <v>126</v>
      </c>
      <c r="E20" s="87">
        <v>10</v>
      </c>
      <c r="F20" s="88">
        <v>524471.68800373096</v>
      </c>
      <c r="G20" s="88">
        <v>6017849.9305311898</v>
      </c>
      <c r="H20" s="81" t="s">
        <v>129</v>
      </c>
      <c r="I20" s="87" t="s">
        <v>94</v>
      </c>
      <c r="J20" s="89" t="s">
        <v>92</v>
      </c>
      <c r="K20" s="87" t="s">
        <v>92</v>
      </c>
      <c r="L20" s="81" t="s">
        <v>95</v>
      </c>
      <c r="M20" s="81" t="s">
        <v>96</v>
      </c>
      <c r="N20" s="83">
        <v>1.9</v>
      </c>
      <c r="O20" s="83">
        <v>26</v>
      </c>
      <c r="P20" s="81" t="s">
        <v>97</v>
      </c>
      <c r="Q20" s="82"/>
      <c r="R20" s="81" t="s">
        <v>97</v>
      </c>
      <c r="S20" s="81" t="s">
        <v>98</v>
      </c>
      <c r="T20" s="81">
        <v>100</v>
      </c>
      <c r="U20" s="81">
        <v>3</v>
      </c>
      <c r="V20" s="81">
        <v>0</v>
      </c>
      <c r="W20" s="81">
        <v>0.8</v>
      </c>
      <c r="X20" s="81" t="s">
        <v>97</v>
      </c>
      <c r="Y20" s="81">
        <v>4</v>
      </c>
      <c r="Z20" s="81">
        <v>1.9</v>
      </c>
      <c r="AA20" s="81">
        <v>1.5</v>
      </c>
      <c r="AB20" s="81" t="s">
        <v>98</v>
      </c>
      <c r="AC20" s="81" t="s">
        <v>97</v>
      </c>
      <c r="AD20" s="81" t="s">
        <v>99</v>
      </c>
      <c r="AE20" s="81" t="s">
        <v>104</v>
      </c>
      <c r="AF20" s="20">
        <f t="shared" si="8"/>
        <v>1</v>
      </c>
      <c r="AG20" s="13">
        <f t="shared" si="1"/>
        <v>3</v>
      </c>
      <c r="AH20" s="7">
        <f t="shared" si="2"/>
        <v>10</v>
      </c>
      <c r="AI20" s="7">
        <f t="shared" si="3"/>
        <v>0</v>
      </c>
      <c r="AJ20" s="7">
        <f t="shared" si="4"/>
        <v>10</v>
      </c>
      <c r="AK20" s="7">
        <f t="shared" si="5"/>
        <v>3</v>
      </c>
      <c r="AL20" s="12">
        <f t="shared" si="9"/>
        <v>26</v>
      </c>
      <c r="AM20" s="14" t="str">
        <f t="shared" si="7"/>
        <v>Barrier</v>
      </c>
      <c r="AN20" s="81"/>
      <c r="AO20" s="81"/>
      <c r="AP20" s="10" t="s">
        <v>210</v>
      </c>
    </row>
    <row r="21" spans="1:42" x14ac:dyDescent="0.25">
      <c r="A21" s="85">
        <v>45164</v>
      </c>
      <c r="B21" s="86" t="s">
        <v>92</v>
      </c>
      <c r="C21" s="81">
        <v>3702078</v>
      </c>
      <c r="D21" s="81" t="s">
        <v>126</v>
      </c>
      <c r="E21" s="81">
        <v>10</v>
      </c>
      <c r="F21" s="83">
        <v>522732.51923286699</v>
      </c>
      <c r="G21" s="83">
        <v>6018668.0588053204</v>
      </c>
      <c r="H21" s="81" t="s">
        <v>130</v>
      </c>
      <c r="I21" s="81" t="s">
        <v>131</v>
      </c>
      <c r="J21" s="89" t="s">
        <v>92</v>
      </c>
      <c r="K21" s="81" t="s">
        <v>92</v>
      </c>
      <c r="L21" s="81" t="s">
        <v>121</v>
      </c>
      <c r="M21" s="81" t="s">
        <v>122</v>
      </c>
      <c r="N21" s="83">
        <v>15</v>
      </c>
      <c r="O21" s="83">
        <v>3</v>
      </c>
      <c r="P21" s="82"/>
      <c r="Q21" s="84"/>
      <c r="R21" s="82"/>
      <c r="S21" s="82"/>
      <c r="T21" s="84"/>
      <c r="U21" s="84"/>
      <c r="V21" s="82"/>
      <c r="W21" s="84"/>
      <c r="X21" s="82"/>
      <c r="Y21" s="84"/>
      <c r="Z21" s="84"/>
      <c r="AA21" s="82"/>
      <c r="AB21" s="81" t="s">
        <v>97</v>
      </c>
      <c r="AC21" s="81" t="s">
        <v>97</v>
      </c>
      <c r="AD21" s="82"/>
      <c r="AE21" s="82"/>
      <c r="AF21" s="20">
        <f t="shared" si="8"/>
        <v>0</v>
      </c>
      <c r="AG21" s="13">
        <f t="shared" si="1"/>
        <v>0</v>
      </c>
      <c r="AH21" s="7">
        <f t="shared" si="2"/>
        <v>0</v>
      </c>
      <c r="AI21" s="7">
        <f t="shared" si="3"/>
        <v>0</v>
      </c>
      <c r="AJ21" s="7">
        <f t="shared" si="4"/>
        <v>0</v>
      </c>
      <c r="AK21" s="7">
        <f t="shared" si="5"/>
        <v>0</v>
      </c>
      <c r="AL21" s="12">
        <f t="shared" si="9"/>
        <v>0</v>
      </c>
      <c r="AM21" s="14" t="str">
        <f t="shared" si="7"/>
        <v>Passable</v>
      </c>
      <c r="AN21" s="82"/>
      <c r="AO21" s="84"/>
      <c r="AP21" s="10" t="s">
        <v>92</v>
      </c>
    </row>
    <row r="22" spans="1:42" x14ac:dyDescent="0.25">
      <c r="A22" s="85">
        <v>45164</v>
      </c>
      <c r="B22" s="86" t="s">
        <v>92</v>
      </c>
      <c r="C22" s="81">
        <v>3702075</v>
      </c>
      <c r="D22" s="81" t="s">
        <v>126</v>
      </c>
      <c r="E22" s="87">
        <v>10</v>
      </c>
      <c r="F22" s="88">
        <v>522184.67275198601</v>
      </c>
      <c r="G22" s="88">
        <v>6020097.0437834105</v>
      </c>
      <c r="H22" s="87" t="s">
        <v>132</v>
      </c>
      <c r="I22" s="87" t="s">
        <v>131</v>
      </c>
      <c r="J22" s="95" t="s">
        <v>92</v>
      </c>
      <c r="K22" s="87" t="s">
        <v>92</v>
      </c>
      <c r="L22" s="81" t="s">
        <v>95</v>
      </c>
      <c r="M22" s="81" t="s">
        <v>96</v>
      </c>
      <c r="N22" s="83">
        <v>0.8</v>
      </c>
      <c r="O22" s="83">
        <v>12</v>
      </c>
      <c r="P22" s="81" t="s">
        <v>97</v>
      </c>
      <c r="Q22" s="84"/>
      <c r="R22" s="81" t="s">
        <v>97</v>
      </c>
      <c r="S22" s="81" t="s">
        <v>98</v>
      </c>
      <c r="T22" s="83">
        <v>50</v>
      </c>
      <c r="U22" s="83">
        <v>0.3</v>
      </c>
      <c r="V22" s="81">
        <v>0.2</v>
      </c>
      <c r="W22" s="83">
        <v>0.3</v>
      </c>
      <c r="X22" s="81" t="s">
        <v>97</v>
      </c>
      <c r="Y22" s="83">
        <v>0</v>
      </c>
      <c r="Z22" s="83">
        <v>2</v>
      </c>
      <c r="AA22" s="81">
        <v>2</v>
      </c>
      <c r="AB22" s="81" t="s">
        <v>97</v>
      </c>
      <c r="AC22" s="81" t="s">
        <v>97</v>
      </c>
      <c r="AD22" s="81" t="s">
        <v>99</v>
      </c>
      <c r="AE22" s="81" t="s">
        <v>104</v>
      </c>
      <c r="AF22" s="20">
        <f t="shared" si="8"/>
        <v>2.5</v>
      </c>
      <c r="AG22" s="13">
        <f t="shared" si="1"/>
        <v>0</v>
      </c>
      <c r="AH22" s="7">
        <f t="shared" si="2"/>
        <v>10</v>
      </c>
      <c r="AI22" s="7">
        <f t="shared" si="3"/>
        <v>5</v>
      </c>
      <c r="AJ22" s="7">
        <f t="shared" si="4"/>
        <v>0</v>
      </c>
      <c r="AK22" s="7">
        <f t="shared" si="5"/>
        <v>6</v>
      </c>
      <c r="AL22" s="12">
        <f t="shared" si="9"/>
        <v>21</v>
      </c>
      <c r="AM22" s="14" t="str">
        <f t="shared" si="7"/>
        <v>Barrier</v>
      </c>
      <c r="AN22" s="81"/>
      <c r="AO22" s="83"/>
      <c r="AP22" s="10" t="s">
        <v>211</v>
      </c>
    </row>
    <row r="23" spans="1:42" x14ac:dyDescent="0.25">
      <c r="A23" s="85">
        <v>45164</v>
      </c>
      <c r="B23" s="86" t="s">
        <v>92</v>
      </c>
      <c r="C23" s="81">
        <v>3700005</v>
      </c>
      <c r="D23" s="81" t="s">
        <v>126</v>
      </c>
      <c r="E23" s="87">
        <v>10</v>
      </c>
      <c r="F23" s="88">
        <v>522683.92219934898</v>
      </c>
      <c r="G23" s="88">
        <v>6022233.0128139397</v>
      </c>
      <c r="H23" s="87" t="s">
        <v>132</v>
      </c>
      <c r="I23" s="87" t="s">
        <v>94</v>
      </c>
      <c r="J23" s="95" t="s">
        <v>92</v>
      </c>
      <c r="K23" s="87" t="s">
        <v>92</v>
      </c>
      <c r="L23" s="81" t="s">
        <v>95</v>
      </c>
      <c r="M23" s="81" t="s">
        <v>96</v>
      </c>
      <c r="N23" s="83">
        <v>0.75</v>
      </c>
      <c r="O23" s="83">
        <v>23</v>
      </c>
      <c r="P23" s="81" t="s">
        <v>97</v>
      </c>
      <c r="Q23" s="84"/>
      <c r="R23" s="81" t="s">
        <v>97</v>
      </c>
      <c r="S23" s="81" t="s">
        <v>97</v>
      </c>
      <c r="T23" s="84"/>
      <c r="U23" s="83">
        <v>1</v>
      </c>
      <c r="V23" s="81">
        <v>0</v>
      </c>
      <c r="W23" s="83">
        <v>0</v>
      </c>
      <c r="X23" s="81" t="s">
        <v>97</v>
      </c>
      <c r="Y23" s="83">
        <v>4</v>
      </c>
      <c r="Z23" s="83">
        <v>2.2999999999999998</v>
      </c>
      <c r="AA23" s="81">
        <v>2</v>
      </c>
      <c r="AB23" s="81" t="s">
        <v>97</v>
      </c>
      <c r="AC23" s="81" t="s">
        <v>97</v>
      </c>
      <c r="AD23" s="81" t="s">
        <v>99</v>
      </c>
      <c r="AE23" s="81" t="s">
        <v>100</v>
      </c>
      <c r="AF23" s="20">
        <f t="shared" si="8"/>
        <v>3.0666666666666664</v>
      </c>
      <c r="AG23" s="13">
        <f t="shared" si="1"/>
        <v>3</v>
      </c>
      <c r="AH23" s="7">
        <f t="shared" si="2"/>
        <v>10</v>
      </c>
      <c r="AI23" s="7">
        <f t="shared" si="3"/>
        <v>0</v>
      </c>
      <c r="AJ23" s="7">
        <f t="shared" si="4"/>
        <v>10</v>
      </c>
      <c r="AK23" s="7">
        <f t="shared" si="5"/>
        <v>6</v>
      </c>
      <c r="AL23" s="12">
        <f t="shared" si="9"/>
        <v>29</v>
      </c>
      <c r="AM23" s="14" t="str">
        <f t="shared" si="7"/>
        <v>Barrier</v>
      </c>
      <c r="AN23" s="81"/>
      <c r="AO23" s="83"/>
      <c r="AP23" s="10" t="s">
        <v>212</v>
      </c>
    </row>
    <row r="24" spans="1:42" x14ac:dyDescent="0.25">
      <c r="A24" s="85">
        <v>45164</v>
      </c>
      <c r="B24" s="86" t="s">
        <v>92</v>
      </c>
      <c r="C24" s="81">
        <v>3703410</v>
      </c>
      <c r="D24" s="81" t="s">
        <v>126</v>
      </c>
      <c r="E24" s="87">
        <v>10</v>
      </c>
      <c r="F24" s="88">
        <v>522653.56417326903</v>
      </c>
      <c r="G24" s="88">
        <v>6022232.4530630196</v>
      </c>
      <c r="H24" s="87" t="s">
        <v>132</v>
      </c>
      <c r="I24" s="87" t="s">
        <v>133</v>
      </c>
      <c r="J24" s="95" t="s">
        <v>92</v>
      </c>
      <c r="K24" s="87" t="s">
        <v>92</v>
      </c>
      <c r="L24" s="81" t="s">
        <v>95</v>
      </c>
      <c r="M24" s="81" t="s">
        <v>96</v>
      </c>
      <c r="N24" s="83">
        <v>0.6</v>
      </c>
      <c r="O24" s="83">
        <v>17</v>
      </c>
      <c r="P24" s="81" t="s">
        <v>97</v>
      </c>
      <c r="Q24" s="84"/>
      <c r="R24" s="81" t="s">
        <v>97</v>
      </c>
      <c r="S24" s="81" t="s">
        <v>97</v>
      </c>
      <c r="T24" s="84"/>
      <c r="U24" s="83">
        <v>2</v>
      </c>
      <c r="V24" s="81">
        <v>0.1</v>
      </c>
      <c r="W24" s="83">
        <v>0.4</v>
      </c>
      <c r="X24" s="81" t="s">
        <v>97</v>
      </c>
      <c r="Y24" s="83">
        <v>1</v>
      </c>
      <c r="Z24" s="83">
        <v>1.9</v>
      </c>
      <c r="AA24" s="81">
        <v>1.5</v>
      </c>
      <c r="AB24" s="81" t="s">
        <v>97</v>
      </c>
      <c r="AC24" s="81" t="s">
        <v>97</v>
      </c>
      <c r="AD24" s="81" t="s">
        <v>99</v>
      </c>
      <c r="AE24" s="81" t="s">
        <v>100</v>
      </c>
      <c r="AF24" s="20">
        <f t="shared" si="8"/>
        <v>3.1666666666666665</v>
      </c>
      <c r="AG24" s="13">
        <f t="shared" si="1"/>
        <v>3</v>
      </c>
      <c r="AH24" s="7">
        <f t="shared" si="2"/>
        <v>10</v>
      </c>
      <c r="AI24" s="7">
        <f t="shared" si="3"/>
        <v>0</v>
      </c>
      <c r="AJ24" s="7">
        <f t="shared" si="4"/>
        <v>5</v>
      </c>
      <c r="AK24" s="7">
        <f t="shared" si="5"/>
        <v>6</v>
      </c>
      <c r="AL24" s="12">
        <f t="shared" si="9"/>
        <v>24</v>
      </c>
      <c r="AM24" s="14" t="str">
        <f t="shared" si="7"/>
        <v>Barrier</v>
      </c>
      <c r="AN24" s="81"/>
      <c r="AO24" s="83"/>
      <c r="AP24" s="10" t="s">
        <v>213</v>
      </c>
    </row>
    <row r="25" spans="1:42" x14ac:dyDescent="0.25">
      <c r="A25" s="85">
        <v>45164</v>
      </c>
      <c r="B25" s="86" t="s">
        <v>92</v>
      </c>
      <c r="C25" s="81">
        <v>3700003</v>
      </c>
      <c r="D25" s="81" t="s">
        <v>126</v>
      </c>
      <c r="E25" s="87">
        <v>10</v>
      </c>
      <c r="F25" s="88">
        <v>523141.36331167398</v>
      </c>
      <c r="G25" s="88">
        <v>6019902.8850418599</v>
      </c>
      <c r="H25" s="87" t="s">
        <v>130</v>
      </c>
      <c r="I25" s="87" t="s">
        <v>94</v>
      </c>
      <c r="J25" s="95" t="s">
        <v>92</v>
      </c>
      <c r="K25" s="87" t="s">
        <v>92</v>
      </c>
      <c r="L25" s="81" t="s">
        <v>95</v>
      </c>
      <c r="M25" s="81" t="s">
        <v>96</v>
      </c>
      <c r="N25" s="83">
        <v>1.1000000000000001</v>
      </c>
      <c r="O25" s="83">
        <v>26</v>
      </c>
      <c r="P25" s="81" t="s">
        <v>98</v>
      </c>
      <c r="Q25" s="83">
        <v>0.6</v>
      </c>
      <c r="R25" s="81" t="s">
        <v>98</v>
      </c>
      <c r="S25" s="81" t="s">
        <v>98</v>
      </c>
      <c r="T25" s="83">
        <v>100</v>
      </c>
      <c r="U25" s="83">
        <v>3.5</v>
      </c>
      <c r="V25" s="81">
        <v>0</v>
      </c>
      <c r="W25" s="83">
        <v>0.6</v>
      </c>
      <c r="X25" s="81" t="s">
        <v>97</v>
      </c>
      <c r="Y25" s="83">
        <v>1.5</v>
      </c>
      <c r="Z25" s="83">
        <v>2.2999999999999998</v>
      </c>
      <c r="AA25" s="81">
        <v>1.5</v>
      </c>
      <c r="AB25" s="81" t="s">
        <v>97</v>
      </c>
      <c r="AC25" s="81" t="s">
        <v>97</v>
      </c>
      <c r="AD25" s="81" t="s">
        <v>99</v>
      </c>
      <c r="AE25" s="81" t="s">
        <v>100</v>
      </c>
      <c r="AF25" s="20">
        <f t="shared" si="8"/>
        <v>2.0909090909090904</v>
      </c>
      <c r="AG25" s="13">
        <f t="shared" si="1"/>
        <v>3</v>
      </c>
      <c r="AH25" s="7">
        <f t="shared" si="2"/>
        <v>0</v>
      </c>
      <c r="AI25" s="7">
        <f t="shared" si="3"/>
        <v>0</v>
      </c>
      <c r="AJ25" s="7">
        <f t="shared" si="4"/>
        <v>5</v>
      </c>
      <c r="AK25" s="7">
        <f t="shared" si="5"/>
        <v>6</v>
      </c>
      <c r="AL25" s="12">
        <f t="shared" si="9"/>
        <v>14</v>
      </c>
      <c r="AM25" s="14" t="str">
        <f t="shared" si="7"/>
        <v>Passable</v>
      </c>
      <c r="AN25" s="81"/>
      <c r="AO25" s="83"/>
      <c r="AP25" s="10" t="s">
        <v>214</v>
      </c>
    </row>
    <row r="26" spans="1:42" ht="30" x14ac:dyDescent="0.25">
      <c r="A26" s="85">
        <v>45164</v>
      </c>
      <c r="B26" s="86" t="s">
        <v>92</v>
      </c>
      <c r="C26" s="81">
        <v>3703324</v>
      </c>
      <c r="D26" s="81" t="s">
        <v>126</v>
      </c>
      <c r="E26" s="87">
        <v>10</v>
      </c>
      <c r="F26" s="88">
        <v>519257.54505712399</v>
      </c>
      <c r="G26" s="88">
        <v>6038651.1625280902</v>
      </c>
      <c r="H26" s="87" t="s">
        <v>134</v>
      </c>
      <c r="I26" s="87" t="s">
        <v>135</v>
      </c>
      <c r="J26" s="95" t="s">
        <v>92</v>
      </c>
      <c r="K26" s="87" t="s">
        <v>92</v>
      </c>
      <c r="L26" s="81" t="s">
        <v>121</v>
      </c>
      <c r="M26" s="81" t="s">
        <v>122</v>
      </c>
      <c r="N26" s="83">
        <v>3.5</v>
      </c>
      <c r="O26" s="83">
        <v>7</v>
      </c>
      <c r="P26" s="82"/>
      <c r="Q26" s="84"/>
      <c r="R26" s="82"/>
      <c r="S26" s="82"/>
      <c r="T26" s="84"/>
      <c r="U26" s="84"/>
      <c r="V26" s="82"/>
      <c r="W26" s="84"/>
      <c r="X26" s="82"/>
      <c r="Y26" s="84"/>
      <c r="Z26" s="84"/>
      <c r="AA26" s="82"/>
      <c r="AB26" s="81" t="s">
        <v>97</v>
      </c>
      <c r="AC26" s="81" t="s">
        <v>97</v>
      </c>
      <c r="AD26" s="82"/>
      <c r="AE26" s="82"/>
      <c r="AF26" s="20">
        <f t="shared" si="8"/>
        <v>0</v>
      </c>
      <c r="AG26" s="13">
        <f t="shared" si="1"/>
        <v>0</v>
      </c>
      <c r="AH26" s="7">
        <f t="shared" si="2"/>
        <v>0</v>
      </c>
      <c r="AI26" s="7">
        <f t="shared" si="3"/>
        <v>0</v>
      </c>
      <c r="AJ26" s="7">
        <f t="shared" si="4"/>
        <v>0</v>
      </c>
      <c r="AK26" s="7">
        <f t="shared" si="5"/>
        <v>0</v>
      </c>
      <c r="AL26" s="12">
        <f t="shared" si="9"/>
        <v>0</v>
      </c>
      <c r="AM26" s="14" t="str">
        <f t="shared" si="7"/>
        <v>Passable</v>
      </c>
      <c r="AN26" s="82"/>
      <c r="AO26" s="84"/>
      <c r="AP26" s="10" t="s">
        <v>215</v>
      </c>
    </row>
    <row r="27" spans="1:42" ht="30" x14ac:dyDescent="0.25">
      <c r="A27" s="85">
        <v>45164</v>
      </c>
      <c r="B27" s="86" t="s">
        <v>92</v>
      </c>
      <c r="C27" s="81">
        <v>3700007</v>
      </c>
      <c r="D27" s="81" t="s">
        <v>126</v>
      </c>
      <c r="E27" s="87">
        <v>10</v>
      </c>
      <c r="F27" s="88">
        <v>520696.14877189801</v>
      </c>
      <c r="G27" s="88">
        <v>6037969.6760748504</v>
      </c>
      <c r="H27" s="87" t="s">
        <v>134</v>
      </c>
      <c r="I27" s="87" t="s">
        <v>94</v>
      </c>
      <c r="J27" s="95" t="s">
        <v>92</v>
      </c>
      <c r="K27" s="87" t="s">
        <v>92</v>
      </c>
      <c r="L27" s="81" t="s">
        <v>95</v>
      </c>
      <c r="M27" s="81" t="s">
        <v>96</v>
      </c>
      <c r="N27" s="83">
        <v>1.7</v>
      </c>
      <c r="O27" s="83">
        <v>22</v>
      </c>
      <c r="P27" s="81" t="s">
        <v>97</v>
      </c>
      <c r="Q27" s="84"/>
      <c r="R27" s="81" t="s">
        <v>97</v>
      </c>
      <c r="S27" s="81" t="s">
        <v>98</v>
      </c>
      <c r="T27" s="83">
        <v>100</v>
      </c>
      <c r="U27" s="83">
        <v>4</v>
      </c>
      <c r="V27" s="81">
        <v>0</v>
      </c>
      <c r="W27" s="83">
        <v>0.4</v>
      </c>
      <c r="X27" s="81" t="s">
        <v>97</v>
      </c>
      <c r="Y27" s="83">
        <v>2.5</v>
      </c>
      <c r="Z27" s="83">
        <v>1.7</v>
      </c>
      <c r="AA27" s="81">
        <v>1</v>
      </c>
      <c r="AB27" s="81" t="s">
        <v>97</v>
      </c>
      <c r="AC27" s="81" t="s">
        <v>97</v>
      </c>
      <c r="AD27" s="81" t="s">
        <v>99</v>
      </c>
      <c r="AE27" s="81" t="s">
        <v>100</v>
      </c>
      <c r="AF27" s="20">
        <f t="shared" si="8"/>
        <v>1</v>
      </c>
      <c r="AG27" s="13">
        <f t="shared" si="1"/>
        <v>3</v>
      </c>
      <c r="AH27" s="7">
        <f t="shared" si="2"/>
        <v>10</v>
      </c>
      <c r="AI27" s="7">
        <f t="shared" si="3"/>
        <v>0</v>
      </c>
      <c r="AJ27" s="7">
        <f t="shared" si="4"/>
        <v>5</v>
      </c>
      <c r="AK27" s="7">
        <f t="shared" si="5"/>
        <v>3</v>
      </c>
      <c r="AL27" s="12">
        <f t="shared" si="9"/>
        <v>21</v>
      </c>
      <c r="AM27" s="14" t="str">
        <f t="shared" si="7"/>
        <v>Barrier</v>
      </c>
      <c r="AN27" s="81"/>
      <c r="AO27" s="83"/>
      <c r="AP27" s="10" t="s">
        <v>216</v>
      </c>
    </row>
    <row r="28" spans="1:42" ht="30" x14ac:dyDescent="0.25">
      <c r="A28" s="85">
        <v>45164</v>
      </c>
      <c r="B28" s="86" t="s">
        <v>92</v>
      </c>
      <c r="C28" s="81">
        <v>3700006</v>
      </c>
      <c r="D28" s="81" t="s">
        <v>126</v>
      </c>
      <c r="E28" s="87">
        <v>10</v>
      </c>
      <c r="F28" s="88">
        <v>523556.57243979198</v>
      </c>
      <c r="G28" s="88">
        <v>6024871.5714464001</v>
      </c>
      <c r="H28" s="87" t="s">
        <v>134</v>
      </c>
      <c r="I28" s="87" t="s">
        <v>94</v>
      </c>
      <c r="J28" s="95" t="s">
        <v>92</v>
      </c>
      <c r="K28" s="87" t="s">
        <v>92</v>
      </c>
      <c r="L28" s="81" t="s">
        <v>95</v>
      </c>
      <c r="M28" s="81" t="s">
        <v>96</v>
      </c>
      <c r="N28" s="83">
        <v>1.2</v>
      </c>
      <c r="O28" s="83">
        <v>18</v>
      </c>
      <c r="P28" s="81" t="s">
        <v>97</v>
      </c>
      <c r="Q28" s="84"/>
      <c r="R28" s="81" t="s">
        <v>97</v>
      </c>
      <c r="S28" s="81" t="s">
        <v>97</v>
      </c>
      <c r="T28" s="84"/>
      <c r="U28" s="83">
        <v>1</v>
      </c>
      <c r="V28" s="81">
        <v>0</v>
      </c>
      <c r="W28" s="83">
        <v>0.8</v>
      </c>
      <c r="X28" s="81" t="s">
        <v>97</v>
      </c>
      <c r="Y28" s="83">
        <v>0.5</v>
      </c>
      <c r="Z28" s="83">
        <v>3.4</v>
      </c>
      <c r="AA28" s="81">
        <v>1</v>
      </c>
      <c r="AB28" s="81" t="s">
        <v>97</v>
      </c>
      <c r="AC28" s="81" t="s">
        <v>97</v>
      </c>
      <c r="AD28" s="81" t="s">
        <v>99</v>
      </c>
      <c r="AE28" s="81" t="s">
        <v>100</v>
      </c>
      <c r="AF28" s="20">
        <f t="shared" si="8"/>
        <v>2.8333333333333335</v>
      </c>
      <c r="AG28" s="13">
        <f t="shared" si="1"/>
        <v>3</v>
      </c>
      <c r="AH28" s="7">
        <f t="shared" si="2"/>
        <v>10</v>
      </c>
      <c r="AI28" s="7">
        <f t="shared" si="3"/>
        <v>0</v>
      </c>
      <c r="AJ28" s="7">
        <f t="shared" si="4"/>
        <v>0</v>
      </c>
      <c r="AK28" s="7">
        <f t="shared" si="5"/>
        <v>6</v>
      </c>
      <c r="AL28" s="12">
        <f t="shared" si="9"/>
        <v>19</v>
      </c>
      <c r="AM28" s="14" t="str">
        <f t="shared" si="7"/>
        <v>Potential</v>
      </c>
      <c r="AN28" s="81"/>
      <c r="AO28" s="83"/>
      <c r="AP28" s="10" t="s">
        <v>217</v>
      </c>
    </row>
    <row r="29" spans="1:42" ht="30" x14ac:dyDescent="0.25">
      <c r="A29" s="85">
        <v>45164</v>
      </c>
      <c r="B29" s="86" t="s">
        <v>92</v>
      </c>
      <c r="C29" s="81">
        <v>3700019</v>
      </c>
      <c r="D29" s="81" t="s">
        <v>136</v>
      </c>
      <c r="E29" s="87">
        <v>10</v>
      </c>
      <c r="F29" s="88">
        <v>514827.234802661</v>
      </c>
      <c r="G29" s="88">
        <v>6059932.4988985602</v>
      </c>
      <c r="H29" s="87" t="s">
        <v>137</v>
      </c>
      <c r="I29" s="87" t="s">
        <v>111</v>
      </c>
      <c r="J29" s="95" t="s">
        <v>92</v>
      </c>
      <c r="K29" s="87" t="s">
        <v>138</v>
      </c>
      <c r="L29" s="81" t="s">
        <v>95</v>
      </c>
      <c r="M29" s="81" t="s">
        <v>96</v>
      </c>
      <c r="N29" s="83">
        <v>1.8</v>
      </c>
      <c r="O29" s="83">
        <v>36</v>
      </c>
      <c r="P29" s="81" t="s">
        <v>97</v>
      </c>
      <c r="Q29" s="84"/>
      <c r="R29" s="81" t="s">
        <v>97</v>
      </c>
      <c r="S29" s="81" t="s">
        <v>98</v>
      </c>
      <c r="T29" s="83">
        <v>100</v>
      </c>
      <c r="U29" s="83">
        <v>3</v>
      </c>
      <c r="V29" s="81">
        <v>0</v>
      </c>
      <c r="W29" s="83">
        <v>0.4</v>
      </c>
      <c r="X29" s="81" t="s">
        <v>98</v>
      </c>
      <c r="Y29" s="83">
        <v>0.5</v>
      </c>
      <c r="Z29" s="83">
        <v>5</v>
      </c>
      <c r="AA29" s="81">
        <v>1</v>
      </c>
      <c r="AB29" s="81" t="s">
        <v>98</v>
      </c>
      <c r="AC29" s="81" t="s">
        <v>97</v>
      </c>
      <c r="AD29" s="81" t="s">
        <v>99</v>
      </c>
      <c r="AE29" s="81" t="s">
        <v>104</v>
      </c>
      <c r="AF29" s="20">
        <f t="shared" si="8"/>
        <v>2.7777777777777777</v>
      </c>
      <c r="AG29" s="13">
        <f t="shared" si="1"/>
        <v>6</v>
      </c>
      <c r="AH29" s="7">
        <f t="shared" si="2"/>
        <v>10</v>
      </c>
      <c r="AI29" s="7">
        <f t="shared" si="3"/>
        <v>0</v>
      </c>
      <c r="AJ29" s="7">
        <f t="shared" si="4"/>
        <v>0</v>
      </c>
      <c r="AK29" s="7">
        <f t="shared" si="5"/>
        <v>6</v>
      </c>
      <c r="AL29" s="12">
        <f t="shared" si="9"/>
        <v>22</v>
      </c>
      <c r="AM29" s="14" t="str">
        <f t="shared" si="7"/>
        <v>Barrier</v>
      </c>
      <c r="AN29" s="81"/>
      <c r="AO29" s="83"/>
      <c r="AP29" s="10" t="s">
        <v>218</v>
      </c>
    </row>
    <row r="30" spans="1:42" ht="30" x14ac:dyDescent="0.25">
      <c r="A30" s="85">
        <v>45164</v>
      </c>
      <c r="B30" s="86" t="s">
        <v>92</v>
      </c>
      <c r="C30" s="81">
        <v>3701847</v>
      </c>
      <c r="D30" s="81" t="s">
        <v>136</v>
      </c>
      <c r="E30" s="87">
        <v>10</v>
      </c>
      <c r="F30" s="88">
        <v>514810.12878570601</v>
      </c>
      <c r="G30" s="88">
        <v>6059906.4789380403</v>
      </c>
      <c r="H30" s="87" t="s">
        <v>139</v>
      </c>
      <c r="I30" s="87" t="s">
        <v>140</v>
      </c>
      <c r="J30" s="95" t="s">
        <v>92</v>
      </c>
      <c r="K30" s="87" t="s">
        <v>141</v>
      </c>
      <c r="L30" s="81" t="s">
        <v>109</v>
      </c>
      <c r="N30" s="84"/>
      <c r="O30" s="84"/>
      <c r="P30" s="82"/>
      <c r="Q30" s="84"/>
      <c r="R30" s="82"/>
      <c r="S30" s="82"/>
      <c r="T30" s="84"/>
      <c r="U30" s="84"/>
      <c r="V30" s="82"/>
      <c r="W30" s="84"/>
      <c r="X30" s="82"/>
      <c r="Y30" s="84"/>
      <c r="Z30" s="84"/>
      <c r="AA30" s="82"/>
      <c r="AB30" s="81" t="s">
        <v>97</v>
      </c>
      <c r="AC30" s="81" t="s">
        <v>97</v>
      </c>
      <c r="AD30" s="82"/>
      <c r="AE30" s="82"/>
      <c r="AF30" s="20">
        <f t="shared" si="8"/>
        <v>0</v>
      </c>
      <c r="AG30" s="13">
        <f t="shared" si="1"/>
        <v>0</v>
      </c>
      <c r="AH30" s="7">
        <f t="shared" si="2"/>
        <v>0</v>
      </c>
      <c r="AI30" s="7">
        <f t="shared" si="3"/>
        <v>0</v>
      </c>
      <c r="AJ30" s="7">
        <f t="shared" si="4"/>
        <v>0</v>
      </c>
      <c r="AK30" s="7">
        <f t="shared" si="5"/>
        <v>0</v>
      </c>
      <c r="AL30" s="12">
        <f t="shared" si="9"/>
        <v>0</v>
      </c>
      <c r="AM30" s="14" t="str">
        <f t="shared" si="7"/>
        <v>Unknown</v>
      </c>
      <c r="AN30" s="82"/>
      <c r="AO30" s="84"/>
      <c r="AP30" s="10" t="s">
        <v>219</v>
      </c>
    </row>
    <row r="31" spans="1:42" ht="30" x14ac:dyDescent="0.25">
      <c r="A31" s="85">
        <v>45164</v>
      </c>
      <c r="B31" s="86" t="s">
        <v>92</v>
      </c>
      <c r="C31" s="81">
        <v>3700023</v>
      </c>
      <c r="D31" s="81" t="s">
        <v>136</v>
      </c>
      <c r="E31" s="87">
        <v>10</v>
      </c>
      <c r="F31" s="88">
        <v>510940.257070411</v>
      </c>
      <c r="G31" s="88">
        <v>6071748.0803880496</v>
      </c>
      <c r="H31" s="87" t="s">
        <v>142</v>
      </c>
      <c r="I31" s="87" t="s">
        <v>111</v>
      </c>
      <c r="J31" s="95" t="s">
        <v>92</v>
      </c>
      <c r="K31" s="87" t="s">
        <v>143</v>
      </c>
      <c r="L31" s="81" t="s">
        <v>95</v>
      </c>
      <c r="M31" s="81" t="s">
        <v>96</v>
      </c>
      <c r="N31" s="83">
        <v>0.5</v>
      </c>
      <c r="O31" s="83">
        <v>30</v>
      </c>
      <c r="P31" s="81" t="s">
        <v>98</v>
      </c>
      <c r="Q31" s="83">
        <v>0.1</v>
      </c>
      <c r="R31" s="81" t="s">
        <v>98</v>
      </c>
      <c r="S31" s="81" t="s">
        <v>98</v>
      </c>
      <c r="T31" s="83">
        <v>100</v>
      </c>
      <c r="U31" s="83">
        <v>4.5</v>
      </c>
      <c r="V31" s="81">
        <v>0</v>
      </c>
      <c r="W31" s="83">
        <v>0.5</v>
      </c>
      <c r="X31" s="81" t="s">
        <v>98</v>
      </c>
      <c r="Y31" s="83">
        <v>0.5</v>
      </c>
      <c r="Z31" s="83">
        <v>4</v>
      </c>
      <c r="AA31" s="81">
        <v>0</v>
      </c>
      <c r="AB31" s="81" t="s">
        <v>98</v>
      </c>
      <c r="AC31" s="81" t="s">
        <v>97</v>
      </c>
      <c r="AD31" s="81" t="s">
        <v>99</v>
      </c>
      <c r="AE31" s="81" t="s">
        <v>107</v>
      </c>
      <c r="AF31" s="20">
        <f t="shared" si="8"/>
        <v>8</v>
      </c>
      <c r="AG31" s="13">
        <f t="shared" si="1"/>
        <v>6</v>
      </c>
      <c r="AH31" s="7">
        <f t="shared" si="2"/>
        <v>5</v>
      </c>
      <c r="AI31" s="7">
        <f t="shared" si="3"/>
        <v>0</v>
      </c>
      <c r="AJ31" s="7">
        <f t="shared" si="4"/>
        <v>0</v>
      </c>
      <c r="AK31" s="7">
        <f t="shared" si="5"/>
        <v>6</v>
      </c>
      <c r="AL31" s="12">
        <f t="shared" si="9"/>
        <v>17</v>
      </c>
      <c r="AM31" s="14" t="str">
        <f t="shared" si="7"/>
        <v>Potential</v>
      </c>
      <c r="AN31" s="81"/>
      <c r="AO31" s="83"/>
      <c r="AP31" s="10" t="s">
        <v>220</v>
      </c>
    </row>
    <row r="32" spans="1:42" x14ac:dyDescent="0.25">
      <c r="A32" s="85">
        <v>45164</v>
      </c>
      <c r="B32" s="86" t="s">
        <v>92</v>
      </c>
      <c r="C32" s="81">
        <v>3700024</v>
      </c>
      <c r="D32" s="81" t="s">
        <v>136</v>
      </c>
      <c r="E32" s="87">
        <v>10</v>
      </c>
      <c r="F32" s="88">
        <v>510950.26997028699</v>
      </c>
      <c r="G32" s="88">
        <v>6072478.8153490396</v>
      </c>
      <c r="H32" s="87" t="s">
        <v>144</v>
      </c>
      <c r="I32" s="87" t="s">
        <v>111</v>
      </c>
      <c r="J32" s="95" t="s">
        <v>92</v>
      </c>
      <c r="K32" s="87" t="s">
        <v>116</v>
      </c>
      <c r="L32" s="81" t="s">
        <v>95</v>
      </c>
      <c r="M32" s="81" t="s">
        <v>96</v>
      </c>
      <c r="N32" s="83">
        <v>2</v>
      </c>
      <c r="O32" s="83">
        <v>26</v>
      </c>
      <c r="P32" s="81" t="s">
        <v>98</v>
      </c>
      <c r="Q32" s="83">
        <v>0.25</v>
      </c>
      <c r="R32" s="81" t="s">
        <v>98</v>
      </c>
      <c r="S32" s="81" t="s">
        <v>98</v>
      </c>
      <c r="T32" s="83">
        <v>100</v>
      </c>
      <c r="U32" s="83">
        <v>1.5</v>
      </c>
      <c r="V32" s="81">
        <v>0</v>
      </c>
      <c r="W32" s="83">
        <v>0.3</v>
      </c>
      <c r="X32" s="81" t="s">
        <v>97</v>
      </c>
      <c r="Y32" s="83">
        <v>0.5</v>
      </c>
      <c r="Z32" s="83">
        <v>2.5</v>
      </c>
      <c r="AA32" s="81">
        <v>1.5</v>
      </c>
      <c r="AB32" s="81" t="s">
        <v>97</v>
      </c>
      <c r="AC32" s="81" t="s">
        <v>97</v>
      </c>
      <c r="AD32" s="81" t="s">
        <v>99</v>
      </c>
      <c r="AE32" s="81" t="s">
        <v>107</v>
      </c>
      <c r="AF32" s="20">
        <f t="shared" si="8"/>
        <v>1.25</v>
      </c>
      <c r="AG32" s="13">
        <f t="shared" si="1"/>
        <v>3</v>
      </c>
      <c r="AH32" s="7">
        <f t="shared" si="2"/>
        <v>5</v>
      </c>
      <c r="AI32" s="7">
        <f t="shared" si="3"/>
        <v>0</v>
      </c>
      <c r="AJ32" s="7">
        <f t="shared" si="4"/>
        <v>0</v>
      </c>
      <c r="AK32" s="7">
        <f t="shared" si="5"/>
        <v>3</v>
      </c>
      <c r="AL32" s="12">
        <f t="shared" si="9"/>
        <v>11</v>
      </c>
      <c r="AM32" s="14" t="str">
        <f t="shared" si="7"/>
        <v>Passable</v>
      </c>
      <c r="AN32" s="81"/>
      <c r="AO32" s="83"/>
      <c r="AP32" s="10" t="s">
        <v>221</v>
      </c>
    </row>
    <row r="33" spans="1:42" ht="30" x14ac:dyDescent="0.25">
      <c r="A33" s="85">
        <v>45164</v>
      </c>
      <c r="B33" s="86" t="s">
        <v>92</v>
      </c>
      <c r="C33" s="81">
        <v>3701948</v>
      </c>
      <c r="D33" s="81" t="s">
        <v>136</v>
      </c>
      <c r="E33" s="87">
        <v>10</v>
      </c>
      <c r="F33" s="88">
        <v>509646.19626364601</v>
      </c>
      <c r="G33" s="88">
        <v>6074530.7301764097</v>
      </c>
      <c r="H33" s="87" t="s">
        <v>142</v>
      </c>
      <c r="I33" s="87" t="s">
        <v>145</v>
      </c>
      <c r="J33" s="95" t="s">
        <v>92</v>
      </c>
      <c r="K33" s="87" t="s">
        <v>116</v>
      </c>
      <c r="L33" s="81" t="s">
        <v>95</v>
      </c>
      <c r="M33" s="81" t="s">
        <v>96</v>
      </c>
      <c r="N33" s="83">
        <v>1.5</v>
      </c>
      <c r="O33" s="83">
        <v>52</v>
      </c>
      <c r="P33" s="81" t="s">
        <v>97</v>
      </c>
      <c r="Q33" s="84"/>
      <c r="R33" s="81" t="s">
        <v>97</v>
      </c>
      <c r="S33" s="81" t="s">
        <v>97</v>
      </c>
      <c r="T33" s="84"/>
      <c r="U33" s="83">
        <v>10</v>
      </c>
      <c r="V33" s="81">
        <v>0.5</v>
      </c>
      <c r="W33" s="83">
        <v>0</v>
      </c>
      <c r="X33" s="81" t="s">
        <v>97</v>
      </c>
      <c r="Y33" s="83">
        <v>1</v>
      </c>
      <c r="Z33" s="83">
        <v>3.9</v>
      </c>
      <c r="AA33" s="81">
        <v>3</v>
      </c>
      <c r="AB33" s="81" t="s">
        <v>98</v>
      </c>
      <c r="AC33" s="81" t="s">
        <v>97</v>
      </c>
      <c r="AD33" s="81" t="s">
        <v>99</v>
      </c>
      <c r="AE33" s="81" t="s">
        <v>100</v>
      </c>
      <c r="AF33" s="20">
        <f t="shared" si="8"/>
        <v>2.6</v>
      </c>
      <c r="AG33" s="13">
        <f t="shared" si="1"/>
        <v>6</v>
      </c>
      <c r="AH33" s="7">
        <f t="shared" si="2"/>
        <v>10</v>
      </c>
      <c r="AI33" s="7">
        <f t="shared" si="3"/>
        <v>10</v>
      </c>
      <c r="AJ33" s="7">
        <f t="shared" si="4"/>
        <v>5</v>
      </c>
      <c r="AK33" s="7">
        <f t="shared" si="5"/>
        <v>6</v>
      </c>
      <c r="AL33" s="12">
        <f t="shared" si="9"/>
        <v>37</v>
      </c>
      <c r="AM33" s="14" t="str">
        <f t="shared" si="7"/>
        <v>Barrier</v>
      </c>
      <c r="AN33" s="81"/>
      <c r="AO33" s="83"/>
      <c r="AP33" s="10" t="s">
        <v>222</v>
      </c>
    </row>
    <row r="34" spans="1:42" ht="30" x14ac:dyDescent="0.25">
      <c r="A34" s="85">
        <v>45164</v>
      </c>
      <c r="B34" s="86" t="s">
        <v>92</v>
      </c>
      <c r="C34" s="81">
        <v>2200009</v>
      </c>
      <c r="D34" s="81" t="s">
        <v>136</v>
      </c>
      <c r="E34" s="87">
        <v>10</v>
      </c>
      <c r="F34" s="88">
        <v>506473.83245198103</v>
      </c>
      <c r="G34" s="88">
        <v>6080568.3292500796</v>
      </c>
      <c r="H34" s="87" t="s">
        <v>146</v>
      </c>
      <c r="I34" s="87" t="s">
        <v>111</v>
      </c>
      <c r="J34" s="95" t="s">
        <v>92</v>
      </c>
      <c r="K34" s="87" t="s">
        <v>116</v>
      </c>
      <c r="L34" s="81" t="s">
        <v>95</v>
      </c>
      <c r="M34" s="81" t="s">
        <v>96</v>
      </c>
      <c r="N34" s="83">
        <v>1.2</v>
      </c>
      <c r="O34" s="83">
        <v>30</v>
      </c>
      <c r="P34" s="81" t="s">
        <v>98</v>
      </c>
      <c r="Q34" s="83">
        <v>0.1</v>
      </c>
      <c r="R34" s="81" t="s">
        <v>98</v>
      </c>
      <c r="S34" s="81" t="s">
        <v>98</v>
      </c>
      <c r="T34" s="83">
        <v>100</v>
      </c>
      <c r="U34" s="83">
        <v>1.2</v>
      </c>
      <c r="V34" s="81">
        <v>0</v>
      </c>
      <c r="W34" s="83">
        <v>1</v>
      </c>
      <c r="X34" s="81" t="s">
        <v>97</v>
      </c>
      <c r="Y34" s="83">
        <v>2.5</v>
      </c>
      <c r="Z34" s="83">
        <v>4.0999999999999996</v>
      </c>
      <c r="AA34" s="81">
        <v>2.5</v>
      </c>
      <c r="AB34" s="81" t="s">
        <v>98</v>
      </c>
      <c r="AC34" s="81" t="s">
        <v>97</v>
      </c>
      <c r="AD34" s="81" t="s">
        <v>99</v>
      </c>
      <c r="AE34" s="81" t="s">
        <v>107</v>
      </c>
      <c r="AF34" s="20">
        <f t="shared" si="8"/>
        <v>3.4166666666666665</v>
      </c>
      <c r="AG34" s="13">
        <f t="shared" si="1"/>
        <v>6</v>
      </c>
      <c r="AH34" s="7">
        <f t="shared" si="2"/>
        <v>5</v>
      </c>
      <c r="AI34" s="7">
        <f t="shared" si="3"/>
        <v>0</v>
      </c>
      <c r="AJ34" s="7">
        <f t="shared" si="4"/>
        <v>5</v>
      </c>
      <c r="AK34" s="7">
        <f t="shared" si="5"/>
        <v>6</v>
      </c>
      <c r="AL34" s="12">
        <f t="shared" si="9"/>
        <v>22</v>
      </c>
      <c r="AM34" s="14" t="str">
        <f t="shared" si="7"/>
        <v>Barrier</v>
      </c>
      <c r="AN34" s="81"/>
      <c r="AO34" s="83"/>
      <c r="AP34" s="10" t="s">
        <v>223</v>
      </c>
    </row>
    <row r="35" spans="1:42" ht="30" x14ac:dyDescent="0.25">
      <c r="A35" s="85">
        <v>45164</v>
      </c>
      <c r="B35" s="86" t="s">
        <v>92</v>
      </c>
      <c r="C35" s="81">
        <v>2200012</v>
      </c>
      <c r="D35" s="81" t="s">
        <v>136</v>
      </c>
      <c r="E35" s="87">
        <v>10</v>
      </c>
      <c r="F35" s="88">
        <v>505028.98706918699</v>
      </c>
      <c r="G35" s="88">
        <v>6083597.00069426</v>
      </c>
      <c r="H35" s="87" t="s">
        <v>110</v>
      </c>
      <c r="I35" s="87" t="s">
        <v>111</v>
      </c>
      <c r="J35" s="95" t="s">
        <v>92</v>
      </c>
      <c r="K35" s="87" t="s">
        <v>116</v>
      </c>
      <c r="L35" s="81" t="s">
        <v>95</v>
      </c>
      <c r="M35" s="81" t="s">
        <v>96</v>
      </c>
      <c r="N35" s="83">
        <v>0.9</v>
      </c>
      <c r="O35" s="83">
        <v>55</v>
      </c>
      <c r="P35" s="81" t="s">
        <v>97</v>
      </c>
      <c r="Q35" s="84"/>
      <c r="R35" s="81" t="s">
        <v>97</v>
      </c>
      <c r="S35" s="81" t="s">
        <v>97</v>
      </c>
      <c r="T35" s="84"/>
      <c r="U35" s="83">
        <v>8</v>
      </c>
      <c r="V35" s="81">
        <v>0.6</v>
      </c>
      <c r="W35" s="83">
        <v>0.1</v>
      </c>
      <c r="X35" s="81" t="s">
        <v>97</v>
      </c>
      <c r="Y35" s="83">
        <v>0</v>
      </c>
      <c r="Z35" s="83">
        <v>2.5</v>
      </c>
      <c r="AA35" s="81">
        <v>3</v>
      </c>
      <c r="AB35" s="81" t="s">
        <v>97</v>
      </c>
      <c r="AC35" s="81" t="s">
        <v>97</v>
      </c>
      <c r="AD35" s="81" t="s">
        <v>99</v>
      </c>
      <c r="AE35" s="81" t="s">
        <v>100</v>
      </c>
      <c r="AF35" s="20">
        <f t="shared" si="8"/>
        <v>2.7777777777777777</v>
      </c>
      <c r="AG35" s="13">
        <f t="shared" si="1"/>
        <v>6</v>
      </c>
      <c r="AH35" s="7">
        <f t="shared" si="2"/>
        <v>10</v>
      </c>
      <c r="AI35" s="7">
        <f t="shared" si="3"/>
        <v>10</v>
      </c>
      <c r="AJ35" s="7">
        <f t="shared" si="4"/>
        <v>0</v>
      </c>
      <c r="AK35" s="7">
        <f t="shared" si="5"/>
        <v>6</v>
      </c>
      <c r="AL35" s="12">
        <f t="shared" si="9"/>
        <v>32</v>
      </c>
      <c r="AM35" s="14" t="str">
        <f t="shared" si="7"/>
        <v>Barrier</v>
      </c>
      <c r="AN35" s="81"/>
      <c r="AO35" s="83"/>
      <c r="AP35" s="10" t="s">
        <v>224</v>
      </c>
    </row>
    <row r="36" spans="1:42" ht="30" x14ac:dyDescent="0.25">
      <c r="A36" s="85">
        <v>45164</v>
      </c>
      <c r="B36" s="86" t="s">
        <v>92</v>
      </c>
      <c r="C36" s="81">
        <v>3702657</v>
      </c>
      <c r="D36" s="81" t="s">
        <v>136</v>
      </c>
      <c r="E36" s="87">
        <v>10</v>
      </c>
      <c r="F36" s="88">
        <v>512259.622649286</v>
      </c>
      <c r="G36" s="88">
        <v>6058146.6589514902</v>
      </c>
      <c r="H36" s="87" t="s">
        <v>139</v>
      </c>
      <c r="I36" s="87" t="s">
        <v>147</v>
      </c>
      <c r="J36" s="95" t="s">
        <v>92</v>
      </c>
      <c r="K36" s="87" t="s">
        <v>92</v>
      </c>
      <c r="L36" s="81" t="s">
        <v>95</v>
      </c>
      <c r="M36" s="81" t="s">
        <v>96</v>
      </c>
      <c r="N36" s="83">
        <v>0.7</v>
      </c>
      <c r="O36" s="83">
        <v>13.5</v>
      </c>
      <c r="P36" s="81" t="s">
        <v>97</v>
      </c>
      <c r="Q36" s="84"/>
      <c r="R36" s="81" t="s">
        <v>97</v>
      </c>
      <c r="S36" s="81" t="s">
        <v>97</v>
      </c>
      <c r="T36" s="84"/>
      <c r="U36" s="83">
        <v>0.5</v>
      </c>
      <c r="V36" s="81">
        <v>0.3</v>
      </c>
      <c r="W36" s="83">
        <v>0</v>
      </c>
      <c r="X36" s="81" t="s">
        <v>97</v>
      </c>
      <c r="Y36" s="83">
        <v>3</v>
      </c>
      <c r="Z36" s="83">
        <v>1</v>
      </c>
      <c r="AA36" s="81">
        <v>5</v>
      </c>
      <c r="AB36" s="81" t="s">
        <v>97</v>
      </c>
      <c r="AC36" s="81" t="s">
        <v>97</v>
      </c>
      <c r="AD36" s="81" t="s">
        <v>99</v>
      </c>
      <c r="AE36" s="81" t="s">
        <v>100</v>
      </c>
      <c r="AF36" s="20">
        <f t="shared" si="8"/>
        <v>1.4285714285714286</v>
      </c>
      <c r="AG36" s="13">
        <f t="shared" si="1"/>
        <v>0</v>
      </c>
      <c r="AH36" s="7">
        <f t="shared" si="2"/>
        <v>10</v>
      </c>
      <c r="AI36" s="7">
        <f t="shared" si="3"/>
        <v>10</v>
      </c>
      <c r="AJ36" s="7">
        <f t="shared" si="4"/>
        <v>10</v>
      </c>
      <c r="AK36" s="7">
        <f t="shared" si="5"/>
        <v>6</v>
      </c>
      <c r="AL36" s="12">
        <f t="shared" si="9"/>
        <v>36</v>
      </c>
      <c r="AM36" s="14" t="str">
        <f t="shared" si="7"/>
        <v>Barrier</v>
      </c>
      <c r="AN36" s="81"/>
      <c r="AO36" s="83"/>
      <c r="AP36" s="10" t="s">
        <v>225</v>
      </c>
    </row>
    <row r="37" spans="1:42" ht="30" x14ac:dyDescent="0.25">
      <c r="A37" s="85">
        <v>45164</v>
      </c>
      <c r="B37" s="86" t="s">
        <v>92</v>
      </c>
      <c r="C37" s="81">
        <v>3702663</v>
      </c>
      <c r="D37" s="81" t="s">
        <v>136</v>
      </c>
      <c r="E37" s="87">
        <v>10</v>
      </c>
      <c r="F37" s="88">
        <v>511738.76884141698</v>
      </c>
      <c r="G37" s="88">
        <v>6059302.8895997899</v>
      </c>
      <c r="H37" s="87" t="s">
        <v>139</v>
      </c>
      <c r="I37" s="87" t="s">
        <v>148</v>
      </c>
      <c r="J37" s="95">
        <v>7.1</v>
      </c>
      <c r="K37" s="87" t="s">
        <v>92</v>
      </c>
      <c r="L37" s="81" t="s">
        <v>95</v>
      </c>
      <c r="M37" s="81" t="s">
        <v>96</v>
      </c>
      <c r="N37" s="83">
        <v>1.2</v>
      </c>
      <c r="O37" s="83">
        <v>17</v>
      </c>
      <c r="P37" s="81" t="s">
        <v>97</v>
      </c>
      <c r="Q37" s="84"/>
      <c r="R37" s="81" t="s">
        <v>97</v>
      </c>
      <c r="S37" s="81" t="s">
        <v>97</v>
      </c>
      <c r="T37" s="84"/>
      <c r="U37" s="83">
        <v>4</v>
      </c>
      <c r="V37" s="81">
        <v>0.3</v>
      </c>
      <c r="W37" s="83">
        <v>1</v>
      </c>
      <c r="X37" s="81" t="s">
        <v>97</v>
      </c>
      <c r="Y37" s="83">
        <v>3</v>
      </c>
      <c r="Z37" s="83">
        <v>3.6</v>
      </c>
      <c r="AA37" s="81">
        <v>4</v>
      </c>
      <c r="AB37" s="81" t="s">
        <v>97</v>
      </c>
      <c r="AC37" s="81" t="s">
        <v>97</v>
      </c>
      <c r="AD37" s="81" t="s">
        <v>99</v>
      </c>
      <c r="AE37" s="81" t="s">
        <v>104</v>
      </c>
      <c r="AF37" s="20">
        <f t="shared" si="8"/>
        <v>3</v>
      </c>
      <c r="AG37" s="13">
        <f t="shared" si="1"/>
        <v>3</v>
      </c>
      <c r="AH37" s="7">
        <f t="shared" si="2"/>
        <v>10</v>
      </c>
      <c r="AI37" s="7">
        <f t="shared" si="3"/>
        <v>10</v>
      </c>
      <c r="AJ37" s="7">
        <f t="shared" si="4"/>
        <v>10</v>
      </c>
      <c r="AK37" s="7">
        <f t="shared" si="5"/>
        <v>6</v>
      </c>
      <c r="AL37" s="12">
        <f t="shared" si="9"/>
        <v>39</v>
      </c>
      <c r="AM37" s="14" t="str">
        <f t="shared" si="7"/>
        <v>Barrier</v>
      </c>
      <c r="AN37" s="81"/>
      <c r="AO37" s="83"/>
      <c r="AP37" s="10" t="s">
        <v>226</v>
      </c>
    </row>
    <row r="38" spans="1:42" ht="30" x14ac:dyDescent="0.25">
      <c r="A38" s="85">
        <v>45164</v>
      </c>
      <c r="B38" s="86" t="s">
        <v>92</v>
      </c>
      <c r="C38" s="81">
        <v>3702665</v>
      </c>
      <c r="D38" s="81" t="s">
        <v>136</v>
      </c>
      <c r="E38" s="87">
        <v>10</v>
      </c>
      <c r="F38" s="88">
        <v>511840.77801849903</v>
      </c>
      <c r="G38" s="88">
        <v>6060224.9613760198</v>
      </c>
      <c r="H38" s="87" t="s">
        <v>139</v>
      </c>
      <c r="I38" s="87" t="s">
        <v>149</v>
      </c>
      <c r="J38" s="95" t="s">
        <v>92</v>
      </c>
      <c r="K38" s="87" t="s">
        <v>92</v>
      </c>
      <c r="L38" s="81" t="s">
        <v>95</v>
      </c>
      <c r="M38" s="81" t="s">
        <v>96</v>
      </c>
      <c r="N38" s="83">
        <v>1.2</v>
      </c>
      <c r="O38" s="83">
        <v>20</v>
      </c>
      <c r="P38" s="81" t="s">
        <v>97</v>
      </c>
      <c r="Q38" s="84"/>
      <c r="R38" s="81" t="s">
        <v>97</v>
      </c>
      <c r="S38" s="81" t="s">
        <v>97</v>
      </c>
      <c r="T38" s="84"/>
      <c r="U38" s="83">
        <v>2</v>
      </c>
      <c r="V38" s="81">
        <v>1</v>
      </c>
      <c r="W38" s="83">
        <v>0.7</v>
      </c>
      <c r="X38" s="81" t="s">
        <v>98</v>
      </c>
      <c r="Y38" s="83">
        <v>3</v>
      </c>
      <c r="Z38" s="83">
        <v>3.5</v>
      </c>
      <c r="AA38" s="81">
        <v>3.5</v>
      </c>
      <c r="AB38" s="81" t="s">
        <v>97</v>
      </c>
      <c r="AC38" s="81" t="s">
        <v>97</v>
      </c>
      <c r="AD38" s="81" t="s">
        <v>99</v>
      </c>
      <c r="AE38" s="81" t="s">
        <v>100</v>
      </c>
      <c r="AF38" s="20">
        <f t="shared" si="8"/>
        <v>2.916666666666667</v>
      </c>
      <c r="AG38" s="13">
        <f t="shared" si="1"/>
        <v>3</v>
      </c>
      <c r="AH38" s="7">
        <f t="shared" si="2"/>
        <v>10</v>
      </c>
      <c r="AI38" s="7">
        <f t="shared" si="3"/>
        <v>10</v>
      </c>
      <c r="AJ38" s="7">
        <f t="shared" si="4"/>
        <v>10</v>
      </c>
      <c r="AK38" s="7">
        <f t="shared" si="5"/>
        <v>6</v>
      </c>
      <c r="AL38" s="12">
        <f t="shared" si="9"/>
        <v>39</v>
      </c>
      <c r="AM38" s="14" t="str">
        <f t="shared" si="7"/>
        <v>Barrier</v>
      </c>
      <c r="AN38" s="81"/>
      <c r="AO38" s="83"/>
      <c r="AP38" s="10" t="s">
        <v>227</v>
      </c>
    </row>
    <row r="39" spans="1:42" ht="30" x14ac:dyDescent="0.25">
      <c r="A39" s="85">
        <v>45167</v>
      </c>
      <c r="B39" s="86" t="s">
        <v>92</v>
      </c>
      <c r="C39" s="81">
        <v>3703459</v>
      </c>
      <c r="D39" s="81" t="s">
        <v>126</v>
      </c>
      <c r="E39" s="87">
        <v>10</v>
      </c>
      <c r="F39" s="88">
        <v>513782.75756309798</v>
      </c>
      <c r="G39" s="88">
        <v>6067300.6120559797</v>
      </c>
      <c r="H39" s="87" t="s">
        <v>150</v>
      </c>
      <c r="I39" s="87" t="s">
        <v>151</v>
      </c>
      <c r="J39" s="95" t="s">
        <v>92</v>
      </c>
      <c r="K39" s="87" t="s">
        <v>92</v>
      </c>
      <c r="L39" s="81" t="s">
        <v>95</v>
      </c>
      <c r="M39" s="81" t="s">
        <v>96</v>
      </c>
      <c r="N39" s="83">
        <v>0.75</v>
      </c>
      <c r="O39" s="83">
        <v>12</v>
      </c>
      <c r="P39" s="81" t="s">
        <v>97</v>
      </c>
      <c r="Q39" s="84"/>
      <c r="R39" s="81" t="s">
        <v>97</v>
      </c>
      <c r="S39" s="81" t="s">
        <v>97</v>
      </c>
      <c r="T39" s="84"/>
      <c r="U39" s="83">
        <v>1.5</v>
      </c>
      <c r="V39" s="81">
        <v>0</v>
      </c>
      <c r="W39" s="83">
        <v>0.7</v>
      </c>
      <c r="X39" s="81" t="s">
        <v>98</v>
      </c>
      <c r="Y39" s="83">
        <v>2</v>
      </c>
      <c r="Z39" s="83">
        <v>2.2000000000000002</v>
      </c>
      <c r="AA39" s="81">
        <v>2</v>
      </c>
      <c r="AB39" s="81" t="s">
        <v>97</v>
      </c>
      <c r="AC39" s="81" t="s">
        <v>98</v>
      </c>
      <c r="AD39" s="81" t="s">
        <v>99</v>
      </c>
      <c r="AE39" s="81" t="s">
        <v>107</v>
      </c>
      <c r="AF39" s="20">
        <f t="shared" si="8"/>
        <v>2.9333333333333336</v>
      </c>
      <c r="AG39" s="13">
        <f t="shared" si="1"/>
        <v>0</v>
      </c>
      <c r="AH39" s="7">
        <f t="shared" si="2"/>
        <v>10</v>
      </c>
      <c r="AI39" s="7">
        <f t="shared" si="3"/>
        <v>0</v>
      </c>
      <c r="AJ39" s="7">
        <f t="shared" si="4"/>
        <v>5</v>
      </c>
      <c r="AK39" s="7">
        <f t="shared" si="5"/>
        <v>6</v>
      </c>
      <c r="AL39" s="12">
        <f t="shared" si="9"/>
        <v>21</v>
      </c>
      <c r="AM39" s="14" t="str">
        <f t="shared" si="7"/>
        <v>Barrier</v>
      </c>
      <c r="AN39" s="81"/>
      <c r="AO39" s="83"/>
      <c r="AP39" s="10" t="s">
        <v>228</v>
      </c>
    </row>
    <row r="40" spans="1:42" ht="30" x14ac:dyDescent="0.25">
      <c r="A40" s="85">
        <v>45167</v>
      </c>
      <c r="B40" s="86" t="s">
        <v>92</v>
      </c>
      <c r="C40" s="81">
        <v>2023082901</v>
      </c>
      <c r="D40" s="81" t="s">
        <v>136</v>
      </c>
      <c r="E40" s="87">
        <v>10</v>
      </c>
      <c r="F40" s="88">
        <v>513128.00473354402</v>
      </c>
      <c r="G40" s="88">
        <v>6067172.5522272699</v>
      </c>
      <c r="H40" s="87" t="s">
        <v>150</v>
      </c>
      <c r="I40" s="87" t="s">
        <v>151</v>
      </c>
      <c r="J40" s="95" t="s">
        <v>92</v>
      </c>
      <c r="K40" s="87" t="s">
        <v>92</v>
      </c>
      <c r="L40" s="81" t="s">
        <v>121</v>
      </c>
      <c r="M40" s="81" t="s">
        <v>122</v>
      </c>
      <c r="N40" s="83">
        <v>15</v>
      </c>
      <c r="O40" s="83">
        <v>5</v>
      </c>
      <c r="P40" s="82"/>
      <c r="Q40" s="84"/>
      <c r="R40" s="82"/>
      <c r="S40" s="82"/>
      <c r="T40" s="84"/>
      <c r="U40" s="84"/>
      <c r="V40" s="82"/>
      <c r="W40" s="84"/>
      <c r="X40" s="82"/>
      <c r="Y40" s="84"/>
      <c r="Z40" s="84"/>
      <c r="AA40" s="82"/>
      <c r="AB40" s="81" t="s">
        <v>97</v>
      </c>
      <c r="AC40" s="81" t="s">
        <v>97</v>
      </c>
      <c r="AD40" s="82"/>
      <c r="AE40" s="82"/>
      <c r="AF40" s="20">
        <f t="shared" si="8"/>
        <v>0</v>
      </c>
      <c r="AG40" s="13">
        <f t="shared" si="1"/>
        <v>0</v>
      </c>
      <c r="AH40" s="7">
        <f t="shared" si="2"/>
        <v>0</v>
      </c>
      <c r="AI40" s="7">
        <f t="shared" si="3"/>
        <v>0</v>
      </c>
      <c r="AJ40" s="7">
        <f t="shared" si="4"/>
        <v>0</v>
      </c>
      <c r="AK40" s="7">
        <f t="shared" si="5"/>
        <v>0</v>
      </c>
      <c r="AL40" s="12">
        <f t="shared" si="9"/>
        <v>0</v>
      </c>
      <c r="AM40" s="14" t="str">
        <f t="shared" si="7"/>
        <v>Passable</v>
      </c>
      <c r="AN40" s="82"/>
      <c r="AO40" s="84"/>
      <c r="AP40" s="10" t="s">
        <v>229</v>
      </c>
    </row>
    <row r="41" spans="1:42" ht="30" x14ac:dyDescent="0.25">
      <c r="A41" s="85">
        <v>45168</v>
      </c>
      <c r="B41" s="86" t="s">
        <v>92</v>
      </c>
      <c r="C41" s="81">
        <v>3702446</v>
      </c>
      <c r="D41" s="81" t="s">
        <v>152</v>
      </c>
      <c r="E41" s="87">
        <v>10</v>
      </c>
      <c r="F41" s="88">
        <v>497845.71185321099</v>
      </c>
      <c r="G41" s="88">
        <v>6060884.2917060703</v>
      </c>
      <c r="H41" s="87" t="s">
        <v>153</v>
      </c>
      <c r="I41" s="87" t="s">
        <v>154</v>
      </c>
      <c r="J41" s="95" t="s">
        <v>92</v>
      </c>
      <c r="K41" s="87" t="s">
        <v>92</v>
      </c>
      <c r="L41" s="81" t="s">
        <v>95</v>
      </c>
      <c r="M41" s="81" t="s">
        <v>96</v>
      </c>
      <c r="N41" s="83">
        <v>0.6</v>
      </c>
      <c r="O41" s="83">
        <v>15</v>
      </c>
      <c r="P41" s="81" t="s">
        <v>97</v>
      </c>
      <c r="Q41" s="84"/>
      <c r="R41" s="81" t="s">
        <v>97</v>
      </c>
      <c r="S41" s="81" t="s">
        <v>97</v>
      </c>
      <c r="T41" s="84"/>
      <c r="U41" s="83">
        <v>2.5</v>
      </c>
      <c r="V41" s="81">
        <v>0.5</v>
      </c>
      <c r="W41" s="83">
        <v>0</v>
      </c>
      <c r="X41" s="81" t="s">
        <v>98</v>
      </c>
      <c r="Y41" s="83">
        <v>6</v>
      </c>
      <c r="Z41" s="83">
        <v>0</v>
      </c>
      <c r="AA41" s="81">
        <v>0</v>
      </c>
      <c r="AB41" s="81" t="s">
        <v>97</v>
      </c>
      <c r="AC41" s="81" t="s">
        <v>97</v>
      </c>
      <c r="AD41" s="81" t="s">
        <v>99</v>
      </c>
      <c r="AE41" s="81" t="s">
        <v>100</v>
      </c>
      <c r="AF41" s="20">
        <f t="shared" si="8"/>
        <v>0</v>
      </c>
      <c r="AG41" s="13">
        <f t="shared" si="1"/>
        <v>3</v>
      </c>
      <c r="AH41" s="7">
        <f t="shared" si="2"/>
        <v>10</v>
      </c>
      <c r="AI41" s="7">
        <f t="shared" si="3"/>
        <v>10</v>
      </c>
      <c r="AJ41" s="7">
        <f t="shared" si="4"/>
        <v>10</v>
      </c>
      <c r="AK41" s="7">
        <f t="shared" si="5"/>
        <v>0</v>
      </c>
      <c r="AL41" s="12">
        <f t="shared" si="9"/>
        <v>33</v>
      </c>
      <c r="AM41" s="14" t="str">
        <f t="shared" si="7"/>
        <v>Barrier</v>
      </c>
      <c r="AN41" s="81"/>
      <c r="AO41" s="83"/>
      <c r="AP41" s="10" t="s">
        <v>230</v>
      </c>
    </row>
    <row r="42" spans="1:42" ht="30" x14ac:dyDescent="0.25">
      <c r="A42" s="85">
        <v>45168</v>
      </c>
      <c r="B42" s="86" t="s">
        <v>92</v>
      </c>
      <c r="C42" s="81">
        <v>3702959</v>
      </c>
      <c r="D42" s="81" t="s">
        <v>152</v>
      </c>
      <c r="E42" s="87">
        <v>10</v>
      </c>
      <c r="F42" s="88">
        <v>494175.80537313898</v>
      </c>
      <c r="G42" s="88">
        <v>6055953.3161710603</v>
      </c>
      <c r="H42" s="87" t="s">
        <v>155</v>
      </c>
      <c r="I42" s="87" t="s">
        <v>154</v>
      </c>
      <c r="J42" s="95" t="s">
        <v>92</v>
      </c>
      <c r="K42" s="87" t="s">
        <v>92</v>
      </c>
      <c r="L42" s="81" t="s">
        <v>95</v>
      </c>
      <c r="M42" s="81" t="s">
        <v>96</v>
      </c>
      <c r="N42" s="83">
        <v>1.5</v>
      </c>
      <c r="O42" s="83">
        <v>12</v>
      </c>
      <c r="P42" s="81" t="s">
        <v>97</v>
      </c>
      <c r="Q42" s="84"/>
      <c r="R42" s="81" t="s">
        <v>97</v>
      </c>
      <c r="S42" s="81" t="s">
        <v>97</v>
      </c>
      <c r="T42" s="84"/>
      <c r="U42" s="83">
        <v>0.5</v>
      </c>
      <c r="V42" s="81">
        <v>0</v>
      </c>
      <c r="W42" s="83">
        <v>1</v>
      </c>
      <c r="X42" s="81" t="s">
        <v>97</v>
      </c>
      <c r="Y42" s="83">
        <v>1</v>
      </c>
      <c r="Z42" s="83">
        <v>3.4</v>
      </c>
      <c r="AA42" s="81">
        <v>1</v>
      </c>
      <c r="AB42" s="81" t="s">
        <v>98</v>
      </c>
      <c r="AC42" s="81" t="s">
        <v>97</v>
      </c>
      <c r="AD42" s="81" t="s">
        <v>99</v>
      </c>
      <c r="AE42" s="81" t="s">
        <v>104</v>
      </c>
      <c r="AF42" s="20">
        <f t="shared" si="8"/>
        <v>2.2666666666666666</v>
      </c>
      <c r="AG42" s="13">
        <f t="shared" si="1"/>
        <v>0</v>
      </c>
      <c r="AH42" s="7">
        <f t="shared" si="2"/>
        <v>10</v>
      </c>
      <c r="AI42" s="7">
        <f t="shared" si="3"/>
        <v>0</v>
      </c>
      <c r="AJ42" s="7">
        <f t="shared" si="4"/>
        <v>5</v>
      </c>
      <c r="AK42" s="7">
        <f t="shared" si="5"/>
        <v>6</v>
      </c>
      <c r="AL42" s="12">
        <f t="shared" si="9"/>
        <v>21</v>
      </c>
      <c r="AM42" s="14" t="str">
        <f t="shared" si="7"/>
        <v>Barrier</v>
      </c>
      <c r="AN42" s="81"/>
      <c r="AO42" s="83"/>
      <c r="AP42" s="10" t="s">
        <v>231</v>
      </c>
    </row>
    <row r="43" spans="1:42" ht="30" x14ac:dyDescent="0.25">
      <c r="A43" s="85">
        <v>45168</v>
      </c>
      <c r="B43" s="86" t="s">
        <v>92</v>
      </c>
      <c r="C43" s="81">
        <v>3702445</v>
      </c>
      <c r="D43" s="81" t="s">
        <v>152</v>
      </c>
      <c r="E43" s="87">
        <v>10</v>
      </c>
      <c r="F43" s="88">
        <v>494123.58235798101</v>
      </c>
      <c r="G43" s="88">
        <v>6054452.3932029996</v>
      </c>
      <c r="H43" s="87" t="s">
        <v>156</v>
      </c>
      <c r="I43" s="87" t="s">
        <v>157</v>
      </c>
      <c r="J43" s="95" t="s">
        <v>92</v>
      </c>
      <c r="K43" s="87" t="s">
        <v>92</v>
      </c>
      <c r="L43" s="81" t="s">
        <v>95</v>
      </c>
      <c r="M43" s="81" t="s">
        <v>96</v>
      </c>
      <c r="N43" s="83">
        <v>3.5</v>
      </c>
      <c r="O43" s="83">
        <v>25</v>
      </c>
      <c r="P43" s="81" t="s">
        <v>97</v>
      </c>
      <c r="Q43" s="84"/>
      <c r="R43" s="81" t="s">
        <v>97</v>
      </c>
      <c r="S43" s="81" t="s">
        <v>97</v>
      </c>
      <c r="T43" s="84"/>
      <c r="U43" s="83">
        <v>1</v>
      </c>
      <c r="V43" s="81">
        <v>0.5</v>
      </c>
      <c r="W43" s="83">
        <v>0.4</v>
      </c>
      <c r="X43" s="81" t="s">
        <v>97</v>
      </c>
      <c r="Y43" s="83">
        <v>2.5</v>
      </c>
      <c r="Z43" s="83">
        <v>3.5</v>
      </c>
      <c r="AA43" s="81">
        <v>1.5</v>
      </c>
      <c r="AB43" s="81" t="s">
        <v>98</v>
      </c>
      <c r="AC43" s="81" t="s">
        <v>97</v>
      </c>
      <c r="AD43" s="81" t="s">
        <v>99</v>
      </c>
      <c r="AE43" s="81" t="s">
        <v>104</v>
      </c>
      <c r="AF43" s="20">
        <f t="shared" si="8"/>
        <v>1</v>
      </c>
      <c r="AG43" s="13">
        <f t="shared" si="1"/>
        <v>3</v>
      </c>
      <c r="AH43" s="7">
        <f t="shared" si="2"/>
        <v>10</v>
      </c>
      <c r="AI43" s="7">
        <f t="shared" si="3"/>
        <v>10</v>
      </c>
      <c r="AJ43" s="7">
        <f t="shared" si="4"/>
        <v>5</v>
      </c>
      <c r="AK43" s="7">
        <f t="shared" si="5"/>
        <v>3</v>
      </c>
      <c r="AL43" s="12">
        <f t="shared" si="9"/>
        <v>31</v>
      </c>
      <c r="AM43" s="14" t="str">
        <f t="shared" si="7"/>
        <v>Barrier</v>
      </c>
      <c r="AN43" s="81"/>
      <c r="AO43" s="83"/>
      <c r="AP43" s="10" t="s">
        <v>232</v>
      </c>
    </row>
    <row r="44" spans="1:42" ht="30" x14ac:dyDescent="0.25">
      <c r="A44" s="85">
        <v>45168</v>
      </c>
      <c r="B44" s="86" t="s">
        <v>92</v>
      </c>
      <c r="C44" s="81">
        <v>3703222</v>
      </c>
      <c r="D44" s="81" t="s">
        <v>92</v>
      </c>
      <c r="E44" s="87">
        <v>10</v>
      </c>
      <c r="F44" s="88">
        <v>516272.82048513502</v>
      </c>
      <c r="G44" s="88">
        <v>6039291.4720805902</v>
      </c>
      <c r="H44" s="87" t="s">
        <v>158</v>
      </c>
      <c r="I44" s="87" t="s">
        <v>159</v>
      </c>
      <c r="J44" s="95" t="s">
        <v>92</v>
      </c>
      <c r="K44" s="87" t="s">
        <v>92</v>
      </c>
      <c r="L44" s="81" t="s">
        <v>95</v>
      </c>
      <c r="M44" s="81" t="s">
        <v>96</v>
      </c>
      <c r="N44" s="83">
        <v>0.6</v>
      </c>
      <c r="O44" s="83">
        <v>15</v>
      </c>
      <c r="P44" s="81" t="s">
        <v>97</v>
      </c>
      <c r="Q44" s="84"/>
      <c r="R44" s="81" t="s">
        <v>97</v>
      </c>
      <c r="S44" s="81" t="s">
        <v>97</v>
      </c>
      <c r="T44" s="84"/>
      <c r="U44" s="83">
        <v>2</v>
      </c>
      <c r="V44" s="81">
        <v>0.6</v>
      </c>
      <c r="W44" s="83">
        <v>0.4</v>
      </c>
      <c r="X44" s="81" t="s">
        <v>97</v>
      </c>
      <c r="Y44" s="83">
        <v>3</v>
      </c>
      <c r="Z44" s="83">
        <v>2.2999999999999998</v>
      </c>
      <c r="AA44" s="81">
        <v>3.5</v>
      </c>
      <c r="AB44" s="81" t="s">
        <v>97</v>
      </c>
      <c r="AC44" s="81" t="s">
        <v>97</v>
      </c>
      <c r="AD44" s="81" t="s">
        <v>99</v>
      </c>
      <c r="AE44" s="81" t="s">
        <v>104</v>
      </c>
      <c r="AF44" s="20">
        <f t="shared" si="8"/>
        <v>3.833333333333333</v>
      </c>
      <c r="AG44" s="13">
        <f t="shared" si="1"/>
        <v>3</v>
      </c>
      <c r="AH44" s="7">
        <f t="shared" si="2"/>
        <v>10</v>
      </c>
      <c r="AI44" s="7">
        <f t="shared" si="3"/>
        <v>10</v>
      </c>
      <c r="AJ44" s="7">
        <f t="shared" si="4"/>
        <v>10</v>
      </c>
      <c r="AK44" s="7">
        <f t="shared" si="5"/>
        <v>6</v>
      </c>
      <c r="AL44" s="12">
        <f t="shared" si="9"/>
        <v>39</v>
      </c>
      <c r="AM44" s="14" t="str">
        <f t="shared" si="7"/>
        <v>Barrier</v>
      </c>
      <c r="AN44" s="81"/>
      <c r="AO44" s="83"/>
      <c r="AP44" s="10" t="s">
        <v>233</v>
      </c>
    </row>
    <row r="45" spans="1:42" ht="30" x14ac:dyDescent="0.25">
      <c r="A45" s="85">
        <v>45168</v>
      </c>
      <c r="B45" s="86" t="s">
        <v>92</v>
      </c>
      <c r="C45" s="81">
        <v>24743865</v>
      </c>
      <c r="D45" s="81" t="s">
        <v>126</v>
      </c>
      <c r="E45" s="87">
        <v>10</v>
      </c>
      <c r="F45" s="88">
        <v>513408.86210897501</v>
      </c>
      <c r="G45" s="88">
        <v>6047505.9139440302</v>
      </c>
      <c r="H45" s="87" t="s">
        <v>134</v>
      </c>
      <c r="I45" s="87" t="s">
        <v>159</v>
      </c>
      <c r="J45" s="95" t="s">
        <v>92</v>
      </c>
      <c r="K45" s="87" t="s">
        <v>92</v>
      </c>
      <c r="L45" s="81" t="s">
        <v>121</v>
      </c>
      <c r="M45" s="81" t="s">
        <v>122</v>
      </c>
      <c r="N45" s="83">
        <v>14</v>
      </c>
      <c r="O45" s="83">
        <v>3</v>
      </c>
      <c r="P45" s="82"/>
      <c r="Q45" s="84"/>
      <c r="R45" s="82"/>
      <c r="S45" s="82"/>
      <c r="T45" s="84"/>
      <c r="U45" s="84"/>
      <c r="V45" s="82"/>
      <c r="W45" s="84"/>
      <c r="X45" s="82"/>
      <c r="Y45" s="84"/>
      <c r="Z45" s="84"/>
      <c r="AA45" s="82"/>
      <c r="AB45" s="81" t="s">
        <v>97</v>
      </c>
      <c r="AC45" s="81" t="s">
        <v>97</v>
      </c>
      <c r="AD45" s="82"/>
      <c r="AE45" s="82"/>
      <c r="AF45" s="20">
        <f t="shared" si="8"/>
        <v>0</v>
      </c>
      <c r="AG45" s="13">
        <f t="shared" si="1"/>
        <v>0</v>
      </c>
      <c r="AH45" s="7">
        <f t="shared" si="2"/>
        <v>0</v>
      </c>
      <c r="AI45" s="7">
        <f t="shared" si="3"/>
        <v>0</v>
      </c>
      <c r="AJ45" s="7">
        <f t="shared" si="4"/>
        <v>0</v>
      </c>
      <c r="AK45" s="7">
        <f t="shared" si="5"/>
        <v>0</v>
      </c>
      <c r="AL45" s="12">
        <f t="shared" si="9"/>
        <v>0</v>
      </c>
      <c r="AM45" s="14" t="str">
        <f t="shared" si="7"/>
        <v>Passable</v>
      </c>
      <c r="AN45" s="82"/>
      <c r="AO45" s="84"/>
      <c r="AP45" s="10" t="s">
        <v>234</v>
      </c>
    </row>
    <row r="46" spans="1:42" x14ac:dyDescent="0.25">
      <c r="A46" s="85">
        <v>45168</v>
      </c>
      <c r="B46" s="86" t="s">
        <v>92</v>
      </c>
      <c r="C46" s="81">
        <v>3703203</v>
      </c>
      <c r="D46" s="81" t="s">
        <v>126</v>
      </c>
      <c r="E46" s="87">
        <v>10</v>
      </c>
      <c r="F46" s="88">
        <v>514487.03437419399</v>
      </c>
      <c r="G46" s="88">
        <v>6042440.6276586996</v>
      </c>
      <c r="H46" s="87" t="s">
        <v>160</v>
      </c>
      <c r="I46" s="87" t="s">
        <v>159</v>
      </c>
      <c r="J46" s="95" t="s">
        <v>92</v>
      </c>
      <c r="K46" s="87" t="s">
        <v>92</v>
      </c>
      <c r="L46" s="81" t="s">
        <v>95</v>
      </c>
      <c r="M46" s="81" t="s">
        <v>96</v>
      </c>
      <c r="N46" s="83">
        <v>0.5</v>
      </c>
      <c r="O46" s="83">
        <v>15</v>
      </c>
      <c r="P46" s="81" t="s">
        <v>97</v>
      </c>
      <c r="Q46" s="84"/>
      <c r="R46" s="81" t="s">
        <v>97</v>
      </c>
      <c r="S46" s="81" t="s">
        <v>97</v>
      </c>
      <c r="T46" s="84"/>
      <c r="U46" s="83">
        <v>3.5</v>
      </c>
      <c r="V46" s="81">
        <v>0</v>
      </c>
      <c r="W46" s="83">
        <v>0</v>
      </c>
      <c r="X46" s="81" t="s">
        <v>97</v>
      </c>
      <c r="Y46" s="83">
        <v>3</v>
      </c>
      <c r="Z46" s="83">
        <v>1.2</v>
      </c>
      <c r="AA46" s="81">
        <v>1</v>
      </c>
      <c r="AB46" s="81" t="s">
        <v>97</v>
      </c>
      <c r="AC46" s="81" t="s">
        <v>97</v>
      </c>
      <c r="AD46" s="81" t="s">
        <v>99</v>
      </c>
      <c r="AE46" s="81" t="s">
        <v>100</v>
      </c>
      <c r="AF46" s="20">
        <f t="shared" si="8"/>
        <v>2.4</v>
      </c>
      <c r="AG46" s="13">
        <f t="shared" si="1"/>
        <v>3</v>
      </c>
      <c r="AH46" s="7">
        <f t="shared" si="2"/>
        <v>10</v>
      </c>
      <c r="AI46" s="7">
        <f t="shared" si="3"/>
        <v>0</v>
      </c>
      <c r="AJ46" s="7">
        <f t="shared" si="4"/>
        <v>10</v>
      </c>
      <c r="AK46" s="7">
        <f t="shared" si="5"/>
        <v>6</v>
      </c>
      <c r="AL46" s="12">
        <f t="shared" si="9"/>
        <v>29</v>
      </c>
      <c r="AM46" s="14" t="str">
        <f t="shared" si="7"/>
        <v>Barrier</v>
      </c>
      <c r="AN46" s="81"/>
      <c r="AO46" s="83"/>
      <c r="AP46" s="10" t="s">
        <v>235</v>
      </c>
    </row>
    <row r="47" spans="1:42" ht="30" x14ac:dyDescent="0.25">
      <c r="A47" s="85">
        <v>45168</v>
      </c>
      <c r="B47" s="86" t="s">
        <v>92</v>
      </c>
      <c r="C47" s="81">
        <v>2200301</v>
      </c>
      <c r="D47" s="81" t="s">
        <v>161</v>
      </c>
      <c r="E47" s="87">
        <v>10</v>
      </c>
      <c r="F47" s="88">
        <v>491030.21946055797</v>
      </c>
      <c r="G47" s="88">
        <v>6075923.9927968504</v>
      </c>
      <c r="H47" s="87" t="s">
        <v>162</v>
      </c>
      <c r="I47" s="87">
        <v>9200</v>
      </c>
      <c r="J47" s="95">
        <v>82.2</v>
      </c>
      <c r="K47" s="87" t="s">
        <v>92</v>
      </c>
      <c r="L47" s="81" t="s">
        <v>95</v>
      </c>
      <c r="M47" s="81" t="s">
        <v>96</v>
      </c>
      <c r="N47" s="83">
        <v>1</v>
      </c>
      <c r="O47" s="83">
        <v>26</v>
      </c>
      <c r="P47" s="81" t="s">
        <v>97</v>
      </c>
      <c r="Q47" s="84"/>
      <c r="R47" s="81" t="s">
        <v>97</v>
      </c>
      <c r="S47" s="81" t="s">
        <v>97</v>
      </c>
      <c r="T47" s="84"/>
      <c r="U47" s="83">
        <v>2.5</v>
      </c>
      <c r="V47" s="81">
        <v>0.55000000000000004</v>
      </c>
      <c r="W47" s="83">
        <v>0.6</v>
      </c>
      <c r="X47" s="81" t="s">
        <v>97</v>
      </c>
      <c r="Y47" s="83">
        <v>4</v>
      </c>
      <c r="Z47" s="83">
        <v>3</v>
      </c>
      <c r="AA47" s="81">
        <v>1.5</v>
      </c>
      <c r="AB47" s="81" t="s">
        <v>97</v>
      </c>
      <c r="AC47" s="81" t="s">
        <v>97</v>
      </c>
      <c r="AD47" s="81" t="s">
        <v>99</v>
      </c>
      <c r="AE47" s="81" t="s">
        <v>104</v>
      </c>
      <c r="AF47" s="20">
        <f t="shared" si="8"/>
        <v>3</v>
      </c>
      <c r="AG47" s="13">
        <f t="shared" si="1"/>
        <v>3</v>
      </c>
      <c r="AH47" s="7">
        <f t="shared" si="2"/>
        <v>10</v>
      </c>
      <c r="AI47" s="7">
        <f t="shared" si="3"/>
        <v>10</v>
      </c>
      <c r="AJ47" s="7">
        <f t="shared" si="4"/>
        <v>10</v>
      </c>
      <c r="AK47" s="7">
        <f t="shared" si="5"/>
        <v>6</v>
      </c>
      <c r="AL47" s="12">
        <f t="shared" si="9"/>
        <v>39</v>
      </c>
      <c r="AM47" s="14" t="str">
        <f t="shared" si="7"/>
        <v>Barrier</v>
      </c>
      <c r="AN47" s="81"/>
      <c r="AO47" s="83"/>
      <c r="AP47" s="10" t="s">
        <v>236</v>
      </c>
    </row>
    <row r="48" spans="1:42" ht="30" x14ac:dyDescent="0.25">
      <c r="A48" s="85">
        <v>45168</v>
      </c>
      <c r="B48" s="86" t="s">
        <v>92</v>
      </c>
      <c r="C48" s="81">
        <v>2201739</v>
      </c>
      <c r="D48" s="81" t="s">
        <v>163</v>
      </c>
      <c r="E48" s="87">
        <v>10</v>
      </c>
      <c r="F48" s="88">
        <v>491670.15389464702</v>
      </c>
      <c r="G48" s="88">
        <v>6075179.0681525096</v>
      </c>
      <c r="H48" s="87" t="s">
        <v>164</v>
      </c>
      <c r="I48" s="87" t="s">
        <v>165</v>
      </c>
      <c r="J48" s="95" t="s">
        <v>92</v>
      </c>
      <c r="K48" s="87" t="s">
        <v>92</v>
      </c>
      <c r="L48" s="81" t="s">
        <v>109</v>
      </c>
      <c r="N48" s="84"/>
      <c r="O48" s="84"/>
      <c r="P48" s="82"/>
      <c r="Q48" s="84"/>
      <c r="R48" s="82"/>
      <c r="S48" s="82"/>
      <c r="T48" s="84"/>
      <c r="U48" s="84"/>
      <c r="V48" s="82"/>
      <c r="W48" s="84"/>
      <c r="X48" s="82"/>
      <c r="Y48" s="84"/>
      <c r="Z48" s="84"/>
      <c r="AA48" s="82"/>
      <c r="AB48" s="81" t="s">
        <v>97</v>
      </c>
      <c r="AC48" s="81" t="s">
        <v>97</v>
      </c>
      <c r="AD48" s="82"/>
      <c r="AE48" s="82"/>
      <c r="AF48" s="20">
        <f t="shared" si="8"/>
        <v>0</v>
      </c>
      <c r="AG48" s="13">
        <f t="shared" si="1"/>
        <v>0</v>
      </c>
      <c r="AH48" s="7">
        <f t="shared" si="2"/>
        <v>0</v>
      </c>
      <c r="AI48" s="7">
        <f t="shared" si="3"/>
        <v>0</v>
      </c>
      <c r="AJ48" s="7">
        <f t="shared" si="4"/>
        <v>0</v>
      </c>
      <c r="AK48" s="7">
        <f t="shared" si="5"/>
        <v>0</v>
      </c>
      <c r="AL48" s="12">
        <f t="shared" si="9"/>
        <v>0</v>
      </c>
      <c r="AM48" s="14" t="str">
        <f t="shared" si="7"/>
        <v>Unknown</v>
      </c>
      <c r="AN48" s="82"/>
      <c r="AO48" s="84"/>
      <c r="AP48" s="10" t="s">
        <v>237</v>
      </c>
    </row>
    <row r="49" spans="1:42" ht="30" x14ac:dyDescent="0.25">
      <c r="A49" s="85">
        <v>45168</v>
      </c>
      <c r="B49" s="86" t="s">
        <v>92</v>
      </c>
      <c r="C49" s="81">
        <v>2200987</v>
      </c>
      <c r="D49" s="81" t="s">
        <v>136</v>
      </c>
      <c r="E49" s="87">
        <v>10</v>
      </c>
      <c r="F49" s="88">
        <v>491638.92640708102</v>
      </c>
      <c r="G49" s="88">
        <v>6072900.7694226298</v>
      </c>
      <c r="H49" s="87" t="s">
        <v>166</v>
      </c>
      <c r="I49" s="87" t="s">
        <v>167</v>
      </c>
      <c r="J49" s="95" t="s">
        <v>92</v>
      </c>
      <c r="K49" s="87" t="s">
        <v>92</v>
      </c>
      <c r="L49" s="81" t="s">
        <v>95</v>
      </c>
      <c r="M49" s="81" t="s">
        <v>96</v>
      </c>
      <c r="N49" s="83">
        <v>1.2</v>
      </c>
      <c r="O49" s="83">
        <v>22</v>
      </c>
      <c r="P49" s="81" t="s">
        <v>97</v>
      </c>
      <c r="Q49" s="84"/>
      <c r="R49" s="81" t="s">
        <v>97</v>
      </c>
      <c r="S49" s="81" t="s">
        <v>97</v>
      </c>
      <c r="T49" s="84"/>
      <c r="U49" s="83">
        <v>2</v>
      </c>
      <c r="V49" s="81">
        <v>0</v>
      </c>
      <c r="W49" s="83">
        <v>0</v>
      </c>
      <c r="X49" s="81" t="s">
        <v>98</v>
      </c>
      <c r="Y49" s="83">
        <v>4</v>
      </c>
      <c r="Z49" s="83">
        <v>1</v>
      </c>
      <c r="AA49" s="81">
        <v>5.5</v>
      </c>
      <c r="AB49" s="81" t="s">
        <v>97</v>
      </c>
      <c r="AC49" s="81" t="s">
        <v>97</v>
      </c>
      <c r="AD49" s="81" t="s">
        <v>99</v>
      </c>
      <c r="AE49" s="81" t="s">
        <v>100</v>
      </c>
      <c r="AF49" s="20">
        <f t="shared" si="8"/>
        <v>0.83333333333333337</v>
      </c>
      <c r="AG49" s="13">
        <f t="shared" si="1"/>
        <v>3</v>
      </c>
      <c r="AH49" s="7">
        <f t="shared" si="2"/>
        <v>10</v>
      </c>
      <c r="AI49" s="7">
        <f t="shared" si="3"/>
        <v>0</v>
      </c>
      <c r="AJ49" s="7">
        <f t="shared" si="4"/>
        <v>10</v>
      </c>
      <c r="AK49" s="7">
        <f t="shared" si="5"/>
        <v>0</v>
      </c>
      <c r="AL49" s="12">
        <f t="shared" si="9"/>
        <v>23</v>
      </c>
      <c r="AM49" s="14" t="str">
        <f t="shared" si="7"/>
        <v>Barrier</v>
      </c>
      <c r="AN49" s="81"/>
      <c r="AO49" s="83"/>
      <c r="AP49" s="10" t="s">
        <v>238</v>
      </c>
    </row>
    <row r="50" spans="1:42" ht="30" x14ac:dyDescent="0.25">
      <c r="A50" s="85">
        <v>45168</v>
      </c>
      <c r="B50" s="86" t="s">
        <v>92</v>
      </c>
      <c r="C50" s="81">
        <v>3702614</v>
      </c>
      <c r="D50" s="81" t="s">
        <v>168</v>
      </c>
      <c r="E50" s="87">
        <v>10</v>
      </c>
      <c r="F50" s="88">
        <v>496782.70263284497</v>
      </c>
      <c r="G50" s="88">
        <v>6054762.9893264202</v>
      </c>
      <c r="H50" s="87" t="s">
        <v>169</v>
      </c>
      <c r="I50" s="87" t="s">
        <v>170</v>
      </c>
      <c r="J50" s="95" t="s">
        <v>92</v>
      </c>
      <c r="K50" s="87" t="s">
        <v>92</v>
      </c>
      <c r="L50" s="81" t="s">
        <v>109</v>
      </c>
      <c r="N50" s="84"/>
      <c r="O50" s="84"/>
      <c r="P50" s="82"/>
      <c r="Q50" s="84"/>
      <c r="R50" s="82"/>
      <c r="S50" s="82"/>
      <c r="T50" s="84"/>
      <c r="U50" s="84"/>
      <c r="V50" s="82"/>
      <c r="W50" s="84"/>
      <c r="X50" s="82"/>
      <c r="Y50" s="84"/>
      <c r="Z50" s="84"/>
      <c r="AA50" s="82"/>
      <c r="AB50" s="81" t="s">
        <v>97</v>
      </c>
      <c r="AC50" s="81" t="s">
        <v>97</v>
      </c>
      <c r="AD50" s="82"/>
      <c r="AE50" s="82"/>
      <c r="AF50" s="20">
        <f t="shared" si="8"/>
        <v>0</v>
      </c>
      <c r="AG50" s="13">
        <f t="shared" si="1"/>
        <v>0</v>
      </c>
      <c r="AH50" s="7">
        <f t="shared" si="2"/>
        <v>0</v>
      </c>
      <c r="AI50" s="7">
        <f t="shared" si="3"/>
        <v>0</v>
      </c>
      <c r="AJ50" s="7">
        <f t="shared" si="4"/>
        <v>0</v>
      </c>
      <c r="AK50" s="7">
        <f t="shared" si="5"/>
        <v>0</v>
      </c>
      <c r="AL50" s="12">
        <f t="shared" si="9"/>
        <v>0</v>
      </c>
      <c r="AM50" s="14" t="str">
        <f t="shared" si="7"/>
        <v>Unknown</v>
      </c>
      <c r="AN50" s="82"/>
      <c r="AO50" s="84"/>
      <c r="AP50" s="10" t="s">
        <v>239</v>
      </c>
    </row>
    <row r="51" spans="1:42" ht="30" x14ac:dyDescent="0.25">
      <c r="A51" s="85">
        <v>45168</v>
      </c>
      <c r="B51" s="86" t="s">
        <v>92</v>
      </c>
      <c r="C51" s="81">
        <v>3702455</v>
      </c>
      <c r="D51" s="81" t="s">
        <v>136</v>
      </c>
      <c r="E51" s="87">
        <v>10</v>
      </c>
      <c r="F51" s="88">
        <v>495632.37416325702</v>
      </c>
      <c r="G51" s="88">
        <v>6051511.9246880803</v>
      </c>
      <c r="H51" s="87" t="s">
        <v>171</v>
      </c>
      <c r="I51" s="87" t="s">
        <v>172</v>
      </c>
      <c r="J51" s="95" t="s">
        <v>92</v>
      </c>
      <c r="K51" s="87" t="s">
        <v>92</v>
      </c>
      <c r="L51" s="81" t="s">
        <v>95</v>
      </c>
      <c r="M51" s="81" t="s">
        <v>96</v>
      </c>
      <c r="N51" s="83">
        <v>1.75</v>
      </c>
      <c r="O51" s="83">
        <v>55</v>
      </c>
      <c r="P51" s="81" t="s">
        <v>97</v>
      </c>
      <c r="Q51" s="84"/>
      <c r="R51" s="81" t="s">
        <v>97</v>
      </c>
      <c r="S51" s="81" t="s">
        <v>97</v>
      </c>
      <c r="T51" s="84"/>
      <c r="U51" s="83">
        <v>5</v>
      </c>
      <c r="V51" s="81">
        <v>0.25</v>
      </c>
      <c r="W51" s="83">
        <v>0.4</v>
      </c>
      <c r="X51" s="81" t="s">
        <v>98</v>
      </c>
      <c r="Y51" s="83">
        <v>0</v>
      </c>
      <c r="Z51" s="83">
        <v>10</v>
      </c>
      <c r="AA51" s="81">
        <v>0</v>
      </c>
      <c r="AB51" s="81" t="s">
        <v>98</v>
      </c>
      <c r="AC51" s="81" t="s">
        <v>97</v>
      </c>
      <c r="AD51" s="81" t="s">
        <v>99</v>
      </c>
      <c r="AE51" s="81" t="s">
        <v>104</v>
      </c>
      <c r="AF51" s="20">
        <f t="shared" si="8"/>
        <v>5.7142857142857144</v>
      </c>
      <c r="AG51" s="13">
        <f t="shared" si="1"/>
        <v>6</v>
      </c>
      <c r="AH51" s="7">
        <f t="shared" si="2"/>
        <v>10</v>
      </c>
      <c r="AI51" s="7">
        <f t="shared" si="3"/>
        <v>5</v>
      </c>
      <c r="AJ51" s="7">
        <f t="shared" si="4"/>
        <v>0</v>
      </c>
      <c r="AK51" s="7">
        <f t="shared" si="5"/>
        <v>6</v>
      </c>
      <c r="AL51" s="12">
        <f t="shared" si="9"/>
        <v>27</v>
      </c>
      <c r="AM51" s="14" t="str">
        <f t="shared" si="7"/>
        <v>Barrier</v>
      </c>
      <c r="AN51" s="81"/>
      <c r="AO51" s="83"/>
      <c r="AP51" s="10" t="s">
        <v>240</v>
      </c>
    </row>
    <row r="52" spans="1:42" ht="30" x14ac:dyDescent="0.25">
      <c r="A52" s="85">
        <v>45168</v>
      </c>
      <c r="B52" s="86" t="s">
        <v>92</v>
      </c>
      <c r="C52" s="81">
        <v>3700783</v>
      </c>
      <c r="D52" s="81" t="s">
        <v>136</v>
      </c>
      <c r="E52" s="87">
        <v>10</v>
      </c>
      <c r="F52" s="88">
        <v>512463.22426940402</v>
      </c>
      <c r="G52" s="88">
        <v>6047486.9260761198</v>
      </c>
      <c r="H52" s="87" t="s">
        <v>134</v>
      </c>
      <c r="I52" s="87"/>
      <c r="J52" s="95"/>
      <c r="K52" s="87"/>
      <c r="L52" s="81"/>
      <c r="M52" s="81"/>
      <c r="N52" s="83"/>
      <c r="O52" s="83"/>
      <c r="P52" s="81"/>
      <c r="Q52" s="83"/>
      <c r="R52" s="81"/>
      <c r="S52" s="81"/>
      <c r="T52" s="83"/>
      <c r="U52" s="83"/>
      <c r="V52" s="81"/>
      <c r="W52" s="83"/>
      <c r="X52" s="81"/>
      <c r="Y52" s="83"/>
      <c r="Z52" s="83"/>
      <c r="AA52" s="81"/>
      <c r="AB52" s="81"/>
      <c r="AC52" s="81"/>
      <c r="AD52" s="81"/>
      <c r="AE52" s="81"/>
      <c r="AF52" s="20">
        <f t="shared" si="8"/>
        <v>0</v>
      </c>
      <c r="AG52" s="13">
        <f t="shared" si="1"/>
        <v>0</v>
      </c>
      <c r="AH52" s="7">
        <f t="shared" si="2"/>
        <v>0</v>
      </c>
      <c r="AI52" s="7">
        <f t="shared" si="3"/>
        <v>0</v>
      </c>
      <c r="AJ52" s="7">
        <f t="shared" si="4"/>
        <v>0</v>
      </c>
      <c r="AK52" s="7">
        <f t="shared" si="5"/>
        <v>0</v>
      </c>
      <c r="AL52" s="12">
        <f t="shared" si="9"/>
        <v>0</v>
      </c>
      <c r="AM52" s="14" t="str">
        <f t="shared" si="7"/>
        <v/>
      </c>
      <c r="AN52" s="81"/>
      <c r="AO52" s="83"/>
      <c r="AP52" s="10" t="s">
        <v>92</v>
      </c>
    </row>
    <row r="53" spans="1:42" ht="30" x14ac:dyDescent="0.25">
      <c r="A53" s="85">
        <v>45168</v>
      </c>
      <c r="B53" s="86" t="s">
        <v>92</v>
      </c>
      <c r="C53" s="81">
        <v>3703210</v>
      </c>
      <c r="D53" s="81" t="s">
        <v>136</v>
      </c>
      <c r="E53" s="87">
        <v>10</v>
      </c>
      <c r="F53" s="88">
        <v>515195.71416025399</v>
      </c>
      <c r="G53" s="88">
        <v>6040682.0368776601</v>
      </c>
      <c r="H53" s="87" t="s">
        <v>173</v>
      </c>
      <c r="I53" s="87" t="s">
        <v>174</v>
      </c>
      <c r="J53" s="95">
        <v>116</v>
      </c>
      <c r="K53" s="87" t="s">
        <v>92</v>
      </c>
      <c r="L53" s="81" t="s">
        <v>95</v>
      </c>
      <c r="M53" s="81" t="s">
        <v>96</v>
      </c>
      <c r="N53" s="83">
        <v>1</v>
      </c>
      <c r="O53" s="83">
        <v>13</v>
      </c>
      <c r="P53" s="81" t="s">
        <v>97</v>
      </c>
      <c r="Q53" s="84"/>
      <c r="R53" s="81" t="s">
        <v>97</v>
      </c>
      <c r="S53" s="81" t="s">
        <v>97</v>
      </c>
      <c r="T53" s="84"/>
      <c r="U53" s="83">
        <v>1</v>
      </c>
      <c r="V53" s="81">
        <v>0</v>
      </c>
      <c r="W53" s="83">
        <v>0.3</v>
      </c>
      <c r="X53" s="81" t="s">
        <v>97</v>
      </c>
      <c r="Y53" s="83">
        <v>1.5</v>
      </c>
      <c r="Z53" s="83">
        <v>2.4</v>
      </c>
      <c r="AA53" s="81">
        <v>0.5</v>
      </c>
      <c r="AB53" s="81" t="s">
        <v>97</v>
      </c>
      <c r="AC53" s="81" t="s">
        <v>97</v>
      </c>
      <c r="AD53" s="81" t="s">
        <v>99</v>
      </c>
      <c r="AE53" s="81" t="s">
        <v>104</v>
      </c>
      <c r="AF53" s="20">
        <f t="shared" si="8"/>
        <v>2.4</v>
      </c>
      <c r="AG53" s="13">
        <f t="shared" si="1"/>
        <v>0</v>
      </c>
      <c r="AH53" s="7">
        <f t="shared" si="2"/>
        <v>10</v>
      </c>
      <c r="AI53" s="7">
        <f t="shared" si="3"/>
        <v>0</v>
      </c>
      <c r="AJ53" s="7">
        <f t="shared" si="4"/>
        <v>5</v>
      </c>
      <c r="AK53" s="7">
        <f t="shared" si="5"/>
        <v>6</v>
      </c>
      <c r="AL53" s="12">
        <f t="shared" si="9"/>
        <v>21</v>
      </c>
      <c r="AM53" s="14" t="str">
        <f t="shared" si="7"/>
        <v>Barrier</v>
      </c>
      <c r="AN53" s="81"/>
      <c r="AO53" s="83"/>
      <c r="AP53" s="10" t="s">
        <v>241</v>
      </c>
    </row>
    <row r="54" spans="1:42" ht="30" x14ac:dyDescent="0.25">
      <c r="A54" s="85">
        <v>45169</v>
      </c>
      <c r="B54" s="86" t="s">
        <v>92</v>
      </c>
      <c r="C54" s="81">
        <v>3703209</v>
      </c>
      <c r="D54" s="81" t="s">
        <v>175</v>
      </c>
      <c r="E54" s="87">
        <v>10</v>
      </c>
      <c r="F54" s="88">
        <v>518240.88921776402</v>
      </c>
      <c r="G54" s="88">
        <v>6034399.2667581998</v>
      </c>
      <c r="H54" s="87" t="s">
        <v>134</v>
      </c>
      <c r="I54" s="87" t="s">
        <v>159</v>
      </c>
      <c r="J54" s="95" t="s">
        <v>92</v>
      </c>
      <c r="K54" s="87" t="s">
        <v>92</v>
      </c>
      <c r="L54" s="81" t="s">
        <v>95</v>
      </c>
      <c r="M54" s="81" t="s">
        <v>96</v>
      </c>
      <c r="N54" s="83">
        <v>3.6</v>
      </c>
      <c r="O54" s="83">
        <v>12.2</v>
      </c>
      <c r="P54" s="81" t="s">
        <v>97</v>
      </c>
      <c r="Q54" s="84"/>
      <c r="R54" s="81" t="s">
        <v>97</v>
      </c>
      <c r="S54" s="81" t="s">
        <v>97</v>
      </c>
      <c r="T54" s="84"/>
      <c r="U54" s="83">
        <v>0.6</v>
      </c>
      <c r="V54" s="81">
        <v>0</v>
      </c>
      <c r="W54" s="83">
        <v>0</v>
      </c>
      <c r="X54" s="81" t="s">
        <v>97</v>
      </c>
      <c r="Y54" s="83">
        <v>2</v>
      </c>
      <c r="Z54" s="83">
        <v>4</v>
      </c>
      <c r="AA54" s="81">
        <v>1.5</v>
      </c>
      <c r="AB54" s="81" t="s">
        <v>97</v>
      </c>
      <c r="AC54" s="81" t="s">
        <v>97</v>
      </c>
      <c r="AD54" s="81" t="s">
        <v>99</v>
      </c>
      <c r="AE54" s="81" t="s">
        <v>100</v>
      </c>
      <c r="AF54" s="20">
        <f t="shared" si="8"/>
        <v>1.1111111111111112</v>
      </c>
      <c r="AG54" s="13">
        <f t="shared" si="1"/>
        <v>0</v>
      </c>
      <c r="AH54" s="7">
        <f t="shared" si="2"/>
        <v>10</v>
      </c>
      <c r="AI54" s="7">
        <f t="shared" si="3"/>
        <v>0</v>
      </c>
      <c r="AJ54" s="7">
        <f t="shared" si="4"/>
        <v>5</v>
      </c>
      <c r="AK54" s="7">
        <f t="shared" si="5"/>
        <v>3</v>
      </c>
      <c r="AL54" s="12">
        <f t="shared" si="9"/>
        <v>18</v>
      </c>
      <c r="AM54" s="14" t="str">
        <f t="shared" si="7"/>
        <v>Potential</v>
      </c>
      <c r="AN54" s="81"/>
      <c r="AO54" s="83"/>
      <c r="AP54" s="10" t="s">
        <v>242</v>
      </c>
    </row>
    <row r="55" spans="1:42" ht="30" x14ac:dyDescent="0.25">
      <c r="A55" s="85">
        <v>45169</v>
      </c>
      <c r="B55" s="86" t="s">
        <v>92</v>
      </c>
      <c r="C55" s="81">
        <v>2200799</v>
      </c>
      <c r="D55" s="81" t="s">
        <v>175</v>
      </c>
      <c r="E55" s="87">
        <v>10</v>
      </c>
      <c r="F55" s="88">
        <v>499080.27030025102</v>
      </c>
      <c r="G55" s="88">
        <v>6094095.3727731202</v>
      </c>
      <c r="H55" s="87" t="s">
        <v>176</v>
      </c>
      <c r="I55" s="87" t="s">
        <v>177</v>
      </c>
      <c r="J55" s="95" t="s">
        <v>92</v>
      </c>
      <c r="K55" s="87" t="s">
        <v>92</v>
      </c>
      <c r="L55" s="81" t="s">
        <v>121</v>
      </c>
      <c r="M55" s="81" t="s">
        <v>122</v>
      </c>
      <c r="N55" s="83">
        <v>19.600000000000001</v>
      </c>
      <c r="O55" s="83">
        <v>4</v>
      </c>
      <c r="P55" s="82"/>
      <c r="Q55" s="84"/>
      <c r="R55" s="82"/>
      <c r="S55" s="82"/>
      <c r="T55" s="84"/>
      <c r="U55" s="84"/>
      <c r="V55" s="82"/>
      <c r="W55" s="84"/>
      <c r="X55" s="82"/>
      <c r="Y55" s="84"/>
      <c r="Z55" s="84"/>
      <c r="AA55" s="82"/>
      <c r="AB55" s="81" t="s">
        <v>97</v>
      </c>
      <c r="AC55" s="81" t="s">
        <v>97</v>
      </c>
      <c r="AD55" s="82"/>
      <c r="AE55" s="82"/>
      <c r="AF55" s="20">
        <f t="shared" si="8"/>
        <v>0</v>
      </c>
      <c r="AG55" s="13">
        <f t="shared" si="1"/>
        <v>0</v>
      </c>
      <c r="AH55" s="7">
        <f t="shared" si="2"/>
        <v>0</v>
      </c>
      <c r="AI55" s="7">
        <f t="shared" si="3"/>
        <v>0</v>
      </c>
      <c r="AJ55" s="7">
        <f t="shared" si="4"/>
        <v>0</v>
      </c>
      <c r="AK55" s="7">
        <f t="shared" si="5"/>
        <v>0</v>
      </c>
      <c r="AL55" s="12">
        <f t="shared" si="9"/>
        <v>0</v>
      </c>
      <c r="AM55" s="14" t="str">
        <f t="shared" si="7"/>
        <v>Passable</v>
      </c>
      <c r="AN55" s="82"/>
      <c r="AO55" s="84"/>
      <c r="AP55" s="10" t="s">
        <v>92</v>
      </c>
    </row>
    <row r="56" spans="1:42" ht="30" x14ac:dyDescent="0.25">
      <c r="A56" s="85">
        <v>45169</v>
      </c>
      <c r="B56" s="86" t="s">
        <v>92</v>
      </c>
      <c r="C56" s="81">
        <v>3702919</v>
      </c>
      <c r="D56" s="81" t="s">
        <v>178</v>
      </c>
      <c r="E56" s="87">
        <v>10</v>
      </c>
      <c r="F56" s="88">
        <v>509951.74196599203</v>
      </c>
      <c r="G56" s="88">
        <v>6040984.40871464</v>
      </c>
      <c r="H56" s="87" t="s">
        <v>134</v>
      </c>
      <c r="I56" s="87" t="s">
        <v>179</v>
      </c>
      <c r="J56" s="95" t="s">
        <v>92</v>
      </c>
      <c r="K56" s="87" t="s">
        <v>92</v>
      </c>
      <c r="L56" s="81" t="s">
        <v>95</v>
      </c>
      <c r="M56" s="81" t="s">
        <v>96</v>
      </c>
      <c r="N56" s="83">
        <v>1.75</v>
      </c>
      <c r="O56" s="83">
        <v>30</v>
      </c>
      <c r="P56" s="81" t="s">
        <v>97</v>
      </c>
      <c r="Q56" s="84"/>
      <c r="R56" s="81" t="s">
        <v>97</v>
      </c>
      <c r="S56" s="81" t="s">
        <v>97</v>
      </c>
      <c r="T56" s="84"/>
      <c r="U56" s="83">
        <v>4</v>
      </c>
      <c r="V56" s="81">
        <v>1.1000000000000001</v>
      </c>
      <c r="W56" s="83">
        <v>0.65</v>
      </c>
      <c r="X56" s="81" t="s">
        <v>98</v>
      </c>
      <c r="Y56" s="83">
        <v>3</v>
      </c>
      <c r="Z56" s="83">
        <v>4.3</v>
      </c>
      <c r="AA56" s="81">
        <v>2.5</v>
      </c>
      <c r="AB56" s="81" t="s">
        <v>97</v>
      </c>
      <c r="AC56" s="81" t="s">
        <v>97</v>
      </c>
      <c r="AD56" s="81" t="s">
        <v>99</v>
      </c>
      <c r="AE56" s="81" t="s">
        <v>104</v>
      </c>
      <c r="AF56" s="20">
        <f t="shared" si="8"/>
        <v>2.4571428571428569</v>
      </c>
      <c r="AG56" s="13">
        <f t="shared" si="1"/>
        <v>6</v>
      </c>
      <c r="AH56" s="7">
        <f t="shared" si="2"/>
        <v>10</v>
      </c>
      <c r="AI56" s="7">
        <f t="shared" si="3"/>
        <v>10</v>
      </c>
      <c r="AJ56" s="7">
        <f t="shared" si="4"/>
        <v>10</v>
      </c>
      <c r="AK56" s="7">
        <f t="shared" si="5"/>
        <v>6</v>
      </c>
      <c r="AL56" s="12">
        <f t="shared" si="9"/>
        <v>42</v>
      </c>
      <c r="AM56" s="14" t="str">
        <f t="shared" si="7"/>
        <v>Barrier</v>
      </c>
      <c r="AN56" s="81"/>
      <c r="AO56" s="83"/>
      <c r="AP56" s="10" t="s">
        <v>243</v>
      </c>
    </row>
    <row r="57" spans="1:42" ht="30" x14ac:dyDescent="0.25">
      <c r="A57" s="85">
        <v>45169</v>
      </c>
      <c r="B57" s="86" t="s">
        <v>92</v>
      </c>
      <c r="C57" s="81">
        <v>3702923</v>
      </c>
      <c r="D57" s="81" t="s">
        <v>180</v>
      </c>
      <c r="E57" s="87">
        <v>10</v>
      </c>
      <c r="F57" s="88">
        <v>510784.97479999397</v>
      </c>
      <c r="G57" s="88">
        <v>6040577.7526618596</v>
      </c>
      <c r="H57" s="87" t="s">
        <v>134</v>
      </c>
      <c r="I57" s="87" t="s">
        <v>179</v>
      </c>
      <c r="J57" s="95">
        <v>22.5</v>
      </c>
      <c r="K57" s="87" t="s">
        <v>92</v>
      </c>
      <c r="L57" s="81" t="s">
        <v>95</v>
      </c>
      <c r="M57" s="81" t="s">
        <v>96</v>
      </c>
      <c r="N57" s="83">
        <v>1.75</v>
      </c>
      <c r="O57" s="83">
        <v>43</v>
      </c>
      <c r="P57" s="81" t="s">
        <v>97</v>
      </c>
      <c r="Q57" s="84"/>
      <c r="R57" s="81" t="s">
        <v>97</v>
      </c>
      <c r="S57" s="81" t="s">
        <v>97</v>
      </c>
      <c r="T57" s="84"/>
      <c r="U57" s="83">
        <v>9</v>
      </c>
      <c r="V57" s="81">
        <v>0.4</v>
      </c>
      <c r="W57" s="83">
        <v>0.63</v>
      </c>
      <c r="X57" s="81" t="s">
        <v>97</v>
      </c>
      <c r="Y57" s="83">
        <v>3</v>
      </c>
      <c r="Z57" s="83">
        <v>2.7</v>
      </c>
      <c r="AA57" s="81">
        <v>2</v>
      </c>
      <c r="AB57" s="81" t="s">
        <v>97</v>
      </c>
      <c r="AC57" s="81" t="s">
        <v>97</v>
      </c>
      <c r="AD57" s="81" t="s">
        <v>99</v>
      </c>
      <c r="AE57" s="81" t="s">
        <v>104</v>
      </c>
      <c r="AF57" s="20">
        <f t="shared" si="8"/>
        <v>1.5428571428571429</v>
      </c>
      <c r="AG57" s="13">
        <f t="shared" si="1"/>
        <v>6</v>
      </c>
      <c r="AH57" s="7">
        <f t="shared" si="2"/>
        <v>10</v>
      </c>
      <c r="AI57" s="7">
        <f t="shared" si="3"/>
        <v>10</v>
      </c>
      <c r="AJ57" s="7">
        <f t="shared" si="4"/>
        <v>10</v>
      </c>
      <c r="AK57" s="7">
        <f t="shared" si="5"/>
        <v>6</v>
      </c>
      <c r="AL57" s="12">
        <f t="shared" si="9"/>
        <v>42</v>
      </c>
      <c r="AM57" s="14" t="str">
        <f t="shared" si="7"/>
        <v>Barrier</v>
      </c>
      <c r="AN57" s="81"/>
      <c r="AO57" s="83"/>
      <c r="AP57" s="10" t="s">
        <v>244</v>
      </c>
    </row>
    <row r="58" spans="1:42" ht="30" x14ac:dyDescent="0.25">
      <c r="A58" s="85">
        <v>45169</v>
      </c>
      <c r="B58" s="86" t="s">
        <v>92</v>
      </c>
      <c r="C58" s="81">
        <v>3702924</v>
      </c>
      <c r="D58" s="81" t="s">
        <v>178</v>
      </c>
      <c r="E58" s="87">
        <v>10</v>
      </c>
      <c r="F58" s="88">
        <v>511000.45261665602</v>
      </c>
      <c r="G58" s="88">
        <v>6040479.4553780397</v>
      </c>
      <c r="H58" s="87" t="s">
        <v>181</v>
      </c>
      <c r="I58" s="87" t="s">
        <v>179</v>
      </c>
      <c r="J58" s="95" t="s">
        <v>92</v>
      </c>
      <c r="K58" s="87" t="s">
        <v>92</v>
      </c>
      <c r="L58" s="81" t="s">
        <v>95</v>
      </c>
      <c r="M58" s="81" t="s">
        <v>96</v>
      </c>
      <c r="N58" s="83">
        <v>2.1</v>
      </c>
      <c r="O58" s="83">
        <v>47</v>
      </c>
      <c r="P58" s="81" t="s">
        <v>97</v>
      </c>
      <c r="Q58" s="84"/>
      <c r="R58" s="81" t="s">
        <v>97</v>
      </c>
      <c r="S58" s="81" t="s">
        <v>97</v>
      </c>
      <c r="T58" s="84"/>
      <c r="U58" s="83">
        <v>9</v>
      </c>
      <c r="V58" s="81">
        <v>0.2</v>
      </c>
      <c r="W58" s="83">
        <v>0.3</v>
      </c>
      <c r="X58" s="81" t="s">
        <v>97</v>
      </c>
      <c r="Y58" s="83">
        <v>3</v>
      </c>
      <c r="Z58" s="83">
        <v>3.4</v>
      </c>
      <c r="AA58" s="81">
        <v>2</v>
      </c>
      <c r="AB58" s="81" t="s">
        <v>97</v>
      </c>
      <c r="AC58" s="81" t="s">
        <v>97</v>
      </c>
      <c r="AD58" s="81" t="s">
        <v>99</v>
      </c>
      <c r="AE58" s="81" t="s">
        <v>104</v>
      </c>
      <c r="AF58" s="20">
        <f t="shared" si="8"/>
        <v>1.6190476190476188</v>
      </c>
      <c r="AG58" s="13">
        <f t="shared" si="1"/>
        <v>6</v>
      </c>
      <c r="AH58" s="7">
        <f t="shared" si="2"/>
        <v>10</v>
      </c>
      <c r="AI58" s="7">
        <f t="shared" si="3"/>
        <v>5</v>
      </c>
      <c r="AJ58" s="7">
        <f t="shared" si="4"/>
        <v>10</v>
      </c>
      <c r="AK58" s="7">
        <f t="shared" si="5"/>
        <v>6</v>
      </c>
      <c r="AL58" s="12">
        <f t="shared" si="9"/>
        <v>37</v>
      </c>
      <c r="AM58" s="14" t="str">
        <f t="shared" si="7"/>
        <v>Barrier</v>
      </c>
      <c r="AN58" s="81"/>
      <c r="AO58" s="83"/>
      <c r="AP58" s="10" t="s">
        <v>245</v>
      </c>
    </row>
    <row r="59" spans="1:42" ht="30" x14ac:dyDescent="0.25">
      <c r="A59" s="85">
        <v>45169</v>
      </c>
      <c r="B59" s="86" t="s">
        <v>92</v>
      </c>
      <c r="C59" s="81">
        <v>2023083101</v>
      </c>
      <c r="D59" s="81" t="s">
        <v>178</v>
      </c>
      <c r="E59" s="87">
        <v>10</v>
      </c>
      <c r="F59" s="88">
        <v>497758.40904267703</v>
      </c>
      <c r="G59" s="88">
        <v>6093673.6291485196</v>
      </c>
      <c r="H59" s="87" t="s">
        <v>182</v>
      </c>
      <c r="I59" s="87" t="s">
        <v>183</v>
      </c>
      <c r="J59" s="95" t="s">
        <v>92</v>
      </c>
      <c r="K59" s="87" t="s">
        <v>92</v>
      </c>
      <c r="L59" s="81" t="s">
        <v>95</v>
      </c>
      <c r="M59" s="81" t="s">
        <v>96</v>
      </c>
      <c r="N59" s="83">
        <v>1.2</v>
      </c>
      <c r="O59" s="83">
        <v>7.5</v>
      </c>
      <c r="P59" s="81" t="s">
        <v>97</v>
      </c>
      <c r="Q59" s="84"/>
      <c r="R59" s="81" t="s">
        <v>97</v>
      </c>
      <c r="S59" s="81" t="s">
        <v>97</v>
      </c>
      <c r="T59" s="84"/>
      <c r="U59" s="83">
        <v>0.5</v>
      </c>
      <c r="V59" s="81">
        <v>0</v>
      </c>
      <c r="W59" s="83">
        <v>0.3</v>
      </c>
      <c r="X59" s="81" t="s">
        <v>98</v>
      </c>
      <c r="Y59" s="83">
        <v>5</v>
      </c>
      <c r="Z59" s="83">
        <v>2.2999999999999998</v>
      </c>
      <c r="AA59" s="81">
        <v>2</v>
      </c>
      <c r="AB59" s="81" t="s">
        <v>98</v>
      </c>
      <c r="AC59" s="81" t="s">
        <v>97</v>
      </c>
      <c r="AD59" s="81" t="s">
        <v>99</v>
      </c>
      <c r="AE59" s="81" t="s">
        <v>104</v>
      </c>
      <c r="AF59" s="20">
        <f t="shared" si="8"/>
        <v>1.9166666666666665</v>
      </c>
      <c r="AG59" s="13">
        <f t="shared" si="1"/>
        <v>0</v>
      </c>
      <c r="AH59" s="7">
        <f t="shared" si="2"/>
        <v>10</v>
      </c>
      <c r="AI59" s="7">
        <f t="shared" si="3"/>
        <v>0</v>
      </c>
      <c r="AJ59" s="7">
        <f t="shared" si="4"/>
        <v>10</v>
      </c>
      <c r="AK59" s="7">
        <f t="shared" si="5"/>
        <v>6</v>
      </c>
      <c r="AL59" s="12">
        <f t="shared" si="9"/>
        <v>26</v>
      </c>
      <c r="AM59" s="14" t="str">
        <f t="shared" si="7"/>
        <v>Barrier</v>
      </c>
      <c r="AN59" s="81"/>
      <c r="AO59" s="83"/>
      <c r="AP59" s="10" t="s">
        <v>246</v>
      </c>
    </row>
    <row r="60" spans="1:42" ht="30" x14ac:dyDescent="0.25">
      <c r="A60" s="85">
        <v>45170</v>
      </c>
      <c r="B60" s="86" t="s">
        <v>92</v>
      </c>
      <c r="C60" s="81">
        <v>3701326</v>
      </c>
      <c r="D60" s="81" t="s">
        <v>126</v>
      </c>
      <c r="E60" s="87">
        <v>10</v>
      </c>
      <c r="F60" s="88">
        <v>512973.33058969898</v>
      </c>
      <c r="G60" s="88">
        <v>6072306.6066989396</v>
      </c>
      <c r="H60" s="87" t="s">
        <v>184</v>
      </c>
      <c r="I60" s="87" t="s">
        <v>185</v>
      </c>
      <c r="J60" s="95" t="s">
        <v>92</v>
      </c>
      <c r="K60" s="87" t="s">
        <v>92</v>
      </c>
      <c r="L60" s="81" t="s">
        <v>121</v>
      </c>
      <c r="M60" s="81" t="s">
        <v>122</v>
      </c>
      <c r="N60" s="83">
        <v>7</v>
      </c>
      <c r="O60" s="83">
        <v>4</v>
      </c>
      <c r="P60" s="82"/>
      <c r="Q60" s="84"/>
      <c r="R60" s="82"/>
      <c r="S60" s="82"/>
      <c r="T60" s="84"/>
      <c r="U60" s="84"/>
      <c r="V60" s="82"/>
      <c r="W60" s="84"/>
      <c r="X60" s="82"/>
      <c r="Y60" s="84"/>
      <c r="Z60" s="84"/>
      <c r="AA60" s="82"/>
      <c r="AB60" s="81" t="s">
        <v>97</v>
      </c>
      <c r="AC60" s="81" t="s">
        <v>97</v>
      </c>
      <c r="AD60" s="82"/>
      <c r="AE60" s="82"/>
      <c r="AF60" s="20">
        <f t="shared" si="8"/>
        <v>0</v>
      </c>
      <c r="AG60" s="13">
        <f t="shared" si="1"/>
        <v>0</v>
      </c>
      <c r="AH60" s="7">
        <f t="shared" si="2"/>
        <v>0</v>
      </c>
      <c r="AI60" s="7">
        <f t="shared" si="3"/>
        <v>0</v>
      </c>
      <c r="AJ60" s="7">
        <f t="shared" si="4"/>
        <v>0</v>
      </c>
      <c r="AK60" s="7">
        <f t="shared" si="5"/>
        <v>0</v>
      </c>
      <c r="AL60" s="12">
        <f t="shared" si="9"/>
        <v>0</v>
      </c>
      <c r="AM60" s="14" t="str">
        <f t="shared" si="7"/>
        <v>Passable</v>
      </c>
      <c r="AN60" s="82"/>
      <c r="AO60" s="84"/>
      <c r="AP60" s="10" t="s">
        <v>247</v>
      </c>
    </row>
    <row r="61" spans="1:42" x14ac:dyDescent="0.25">
      <c r="A61" s="85">
        <v>45170</v>
      </c>
      <c r="B61" s="86" t="s">
        <v>92</v>
      </c>
      <c r="C61" s="81">
        <v>370033</v>
      </c>
      <c r="D61" s="81" t="s">
        <v>126</v>
      </c>
      <c r="E61" s="87">
        <v>10</v>
      </c>
      <c r="F61" s="88">
        <v>512837.13864966098</v>
      </c>
      <c r="G61" s="88">
        <v>6072244.9127350301</v>
      </c>
      <c r="H61" s="87" t="s">
        <v>144</v>
      </c>
      <c r="I61" s="87" t="s">
        <v>185</v>
      </c>
      <c r="J61" s="95" t="s">
        <v>92</v>
      </c>
      <c r="K61" s="87" t="s">
        <v>92</v>
      </c>
      <c r="L61" s="81" t="s">
        <v>95</v>
      </c>
      <c r="M61" s="81" t="s">
        <v>96</v>
      </c>
      <c r="N61" s="83">
        <v>0.5</v>
      </c>
      <c r="O61" s="83">
        <v>7</v>
      </c>
      <c r="P61" s="81" t="s">
        <v>97</v>
      </c>
      <c r="Q61" s="84"/>
      <c r="R61" s="81" t="s">
        <v>97</v>
      </c>
      <c r="S61" s="81" t="s">
        <v>97</v>
      </c>
      <c r="T61" s="84"/>
      <c r="U61" s="83">
        <v>1.5</v>
      </c>
      <c r="V61" s="81">
        <v>0</v>
      </c>
      <c r="W61" s="83">
        <v>0</v>
      </c>
      <c r="X61" s="81" t="s">
        <v>97</v>
      </c>
      <c r="Y61" s="83">
        <v>2</v>
      </c>
      <c r="Z61" s="83">
        <v>1.6</v>
      </c>
      <c r="AA61" s="81">
        <v>2.5</v>
      </c>
      <c r="AB61" s="81" t="s">
        <v>97</v>
      </c>
      <c r="AC61" s="81" t="s">
        <v>97</v>
      </c>
      <c r="AD61" s="81" t="s">
        <v>99</v>
      </c>
      <c r="AE61" s="81" t="s">
        <v>100</v>
      </c>
      <c r="AF61" s="20">
        <f t="shared" si="8"/>
        <v>3.2</v>
      </c>
      <c r="AG61" s="13">
        <f t="shared" si="1"/>
        <v>0</v>
      </c>
      <c r="AH61" s="7">
        <f t="shared" si="2"/>
        <v>10</v>
      </c>
      <c r="AI61" s="7">
        <f t="shared" si="3"/>
        <v>0</v>
      </c>
      <c r="AJ61" s="7">
        <f t="shared" si="4"/>
        <v>5</v>
      </c>
      <c r="AK61" s="7">
        <f t="shared" si="5"/>
        <v>6</v>
      </c>
      <c r="AL61" s="12">
        <f t="shared" si="9"/>
        <v>21</v>
      </c>
      <c r="AM61" s="14" t="str">
        <f t="shared" si="7"/>
        <v>Barrier</v>
      </c>
      <c r="AN61" s="81"/>
      <c r="AO61" s="83"/>
      <c r="AP61" s="10" t="s">
        <v>248</v>
      </c>
    </row>
    <row r="62" spans="1:42" ht="30" x14ac:dyDescent="0.25">
      <c r="A62" s="85">
        <v>45170</v>
      </c>
      <c r="B62" s="86" t="s">
        <v>92</v>
      </c>
      <c r="C62" s="81">
        <v>3700192</v>
      </c>
      <c r="D62" s="81" t="s">
        <v>126</v>
      </c>
      <c r="E62" s="87">
        <v>10</v>
      </c>
      <c r="F62" s="88">
        <v>520582.68499606702</v>
      </c>
      <c r="G62" s="88">
        <v>6037949.3416053904</v>
      </c>
      <c r="H62" s="87" t="s">
        <v>134</v>
      </c>
      <c r="I62" s="87" t="s">
        <v>177</v>
      </c>
      <c r="J62" s="95" t="s">
        <v>92</v>
      </c>
      <c r="K62" s="87" t="s">
        <v>92</v>
      </c>
      <c r="L62" s="81" t="s">
        <v>95</v>
      </c>
      <c r="M62" s="81" t="s">
        <v>96</v>
      </c>
      <c r="N62" s="83">
        <v>1.2</v>
      </c>
      <c r="O62" s="83">
        <v>15</v>
      </c>
      <c r="P62" s="81" t="s">
        <v>97</v>
      </c>
      <c r="Q62" s="84"/>
      <c r="R62" s="81" t="s">
        <v>97</v>
      </c>
      <c r="S62" s="81" t="s">
        <v>97</v>
      </c>
      <c r="T62" s="84"/>
      <c r="U62" s="83">
        <v>3.5</v>
      </c>
      <c r="V62" s="81">
        <v>0</v>
      </c>
      <c r="W62" s="83">
        <v>0</v>
      </c>
      <c r="X62" s="81" t="s">
        <v>97</v>
      </c>
      <c r="Y62" s="83">
        <v>1</v>
      </c>
      <c r="Z62" s="83">
        <v>1.2</v>
      </c>
      <c r="AA62" s="81">
        <v>1.5</v>
      </c>
      <c r="AB62" s="81" t="s">
        <v>97</v>
      </c>
      <c r="AC62" s="81" t="s">
        <v>97</v>
      </c>
      <c r="AD62" s="81" t="s">
        <v>99</v>
      </c>
      <c r="AE62" s="81" t="s">
        <v>100</v>
      </c>
      <c r="AF62" s="20">
        <f t="shared" si="8"/>
        <v>1</v>
      </c>
      <c r="AG62" s="13">
        <f t="shared" si="1"/>
        <v>3</v>
      </c>
      <c r="AH62" s="7">
        <f t="shared" si="2"/>
        <v>10</v>
      </c>
      <c r="AI62" s="7">
        <f t="shared" si="3"/>
        <v>0</v>
      </c>
      <c r="AJ62" s="7">
        <f t="shared" si="4"/>
        <v>5</v>
      </c>
      <c r="AK62" s="7">
        <f t="shared" si="5"/>
        <v>3</v>
      </c>
      <c r="AL62" s="12">
        <f t="shared" si="9"/>
        <v>21</v>
      </c>
      <c r="AM62" s="14" t="str">
        <f t="shared" si="7"/>
        <v>Barrier</v>
      </c>
      <c r="AN62" s="81"/>
      <c r="AO62" s="83"/>
      <c r="AP62" s="10" t="s">
        <v>249</v>
      </c>
    </row>
    <row r="63" spans="1:42" x14ac:dyDescent="0.25">
      <c r="A63" s="85">
        <v>45170</v>
      </c>
      <c r="B63" s="86" t="s">
        <v>92</v>
      </c>
      <c r="C63" s="81">
        <v>3702076</v>
      </c>
      <c r="D63" s="81" t="s">
        <v>186</v>
      </c>
      <c r="E63" s="87">
        <v>10</v>
      </c>
      <c r="F63" s="88">
        <v>521415.18234987999</v>
      </c>
      <c r="G63" s="88">
        <v>6018921.1401842497</v>
      </c>
      <c r="H63" s="87" t="s">
        <v>187</v>
      </c>
      <c r="I63" s="87" t="s">
        <v>131</v>
      </c>
      <c r="J63" s="95" t="s">
        <v>92</v>
      </c>
      <c r="K63" s="87" t="s">
        <v>92</v>
      </c>
      <c r="L63" s="81" t="s">
        <v>121</v>
      </c>
      <c r="M63" s="81" t="s">
        <v>122</v>
      </c>
      <c r="N63" s="83">
        <v>13</v>
      </c>
      <c r="O63" s="83">
        <v>4.8</v>
      </c>
      <c r="P63" s="82"/>
      <c r="Q63" s="84"/>
      <c r="R63" s="82"/>
      <c r="S63" s="82"/>
      <c r="T63" s="84"/>
      <c r="U63" s="84"/>
      <c r="V63" s="82"/>
      <c r="W63" s="84"/>
      <c r="X63" s="82"/>
      <c r="Y63" s="84"/>
      <c r="Z63" s="84"/>
      <c r="AA63" s="82"/>
      <c r="AB63" s="81" t="s">
        <v>97</v>
      </c>
      <c r="AC63" s="81" t="s">
        <v>97</v>
      </c>
      <c r="AD63" s="82"/>
      <c r="AE63" s="82"/>
      <c r="AF63" s="20">
        <f t="shared" si="8"/>
        <v>0</v>
      </c>
      <c r="AG63" s="13">
        <f t="shared" si="1"/>
        <v>0</v>
      </c>
      <c r="AH63" s="7">
        <f t="shared" si="2"/>
        <v>0</v>
      </c>
      <c r="AI63" s="7">
        <f t="shared" si="3"/>
        <v>0</v>
      </c>
      <c r="AJ63" s="7">
        <f t="shared" si="4"/>
        <v>0</v>
      </c>
      <c r="AK63" s="7">
        <f t="shared" si="5"/>
        <v>0</v>
      </c>
      <c r="AL63" s="12">
        <f t="shared" si="9"/>
        <v>0</v>
      </c>
      <c r="AM63" s="14" t="str">
        <f t="shared" si="7"/>
        <v>Passable</v>
      </c>
      <c r="AN63" s="82"/>
      <c r="AO63" s="84"/>
      <c r="AP63" s="10" t="s">
        <v>250</v>
      </c>
    </row>
    <row r="64" spans="1:42" x14ac:dyDescent="0.25">
      <c r="A64" s="85">
        <v>45170</v>
      </c>
      <c r="B64" s="86" t="s">
        <v>92</v>
      </c>
      <c r="C64" s="81">
        <v>3702074</v>
      </c>
      <c r="D64" s="81" t="s">
        <v>126</v>
      </c>
      <c r="E64" s="87">
        <v>10</v>
      </c>
      <c r="F64" s="88">
        <v>518848.02311069402</v>
      </c>
      <c r="G64" s="88">
        <v>6017917.4325442296</v>
      </c>
      <c r="H64" s="87" t="s">
        <v>188</v>
      </c>
      <c r="I64" s="87" t="s">
        <v>131</v>
      </c>
      <c r="J64" s="95" t="s">
        <v>92</v>
      </c>
      <c r="K64" s="87" t="s">
        <v>92</v>
      </c>
      <c r="L64" s="81" t="s">
        <v>95</v>
      </c>
      <c r="M64" s="81" t="s">
        <v>96</v>
      </c>
      <c r="N64" s="83">
        <v>0.6</v>
      </c>
      <c r="O64" s="83">
        <v>13</v>
      </c>
      <c r="P64" s="81" t="s">
        <v>97</v>
      </c>
      <c r="Q64" s="84"/>
      <c r="R64" s="81" t="s">
        <v>97</v>
      </c>
      <c r="S64" s="81" t="s">
        <v>98</v>
      </c>
      <c r="T64" s="83">
        <v>100</v>
      </c>
      <c r="U64" s="83">
        <v>1</v>
      </c>
      <c r="V64" s="81">
        <v>0</v>
      </c>
      <c r="W64" s="83">
        <v>0.7</v>
      </c>
      <c r="X64" s="81" t="s">
        <v>97</v>
      </c>
      <c r="Y64" s="83">
        <v>4</v>
      </c>
      <c r="Z64" s="83">
        <v>1.2</v>
      </c>
      <c r="AA64" s="81">
        <v>1.5</v>
      </c>
      <c r="AB64" s="81" t="s">
        <v>97</v>
      </c>
      <c r="AC64" s="81" t="s">
        <v>98</v>
      </c>
      <c r="AD64" s="81" t="s">
        <v>99</v>
      </c>
      <c r="AE64" s="81" t="s">
        <v>100</v>
      </c>
      <c r="AF64" s="20">
        <f t="shared" si="8"/>
        <v>2</v>
      </c>
      <c r="AG64" s="13">
        <f t="shared" si="1"/>
        <v>0</v>
      </c>
      <c r="AH64" s="7">
        <f t="shared" si="2"/>
        <v>10</v>
      </c>
      <c r="AI64" s="7">
        <f t="shared" si="3"/>
        <v>0</v>
      </c>
      <c r="AJ64" s="7">
        <f t="shared" si="4"/>
        <v>10</v>
      </c>
      <c r="AK64" s="7">
        <f t="shared" si="5"/>
        <v>6</v>
      </c>
      <c r="AL64" s="12">
        <f t="shared" si="9"/>
        <v>26</v>
      </c>
      <c r="AM64" s="14" t="str">
        <f t="shared" si="7"/>
        <v>Barrier</v>
      </c>
      <c r="AN64" s="81"/>
      <c r="AO64" s="83"/>
      <c r="AP64" s="10" t="s">
        <v>251</v>
      </c>
    </row>
    <row r="65" spans="1:42" x14ac:dyDescent="0.25">
      <c r="A65" s="85">
        <v>45170</v>
      </c>
      <c r="B65" s="86" t="s">
        <v>92</v>
      </c>
      <c r="C65" s="81">
        <v>3702077</v>
      </c>
      <c r="D65" s="81" t="s">
        <v>126</v>
      </c>
      <c r="E65" s="87">
        <v>10</v>
      </c>
      <c r="F65" s="88">
        <v>517337.71275192301</v>
      </c>
      <c r="G65" s="88">
        <v>6018000.3555349903</v>
      </c>
      <c r="H65" s="87" t="s">
        <v>189</v>
      </c>
      <c r="I65" s="87" t="s">
        <v>131</v>
      </c>
      <c r="J65" s="95">
        <v>31</v>
      </c>
      <c r="K65" s="87" t="s">
        <v>92</v>
      </c>
      <c r="L65" s="81" t="s">
        <v>95</v>
      </c>
      <c r="M65" s="81" t="s">
        <v>96</v>
      </c>
      <c r="N65" s="83">
        <v>0.7</v>
      </c>
      <c r="O65" s="83">
        <v>12</v>
      </c>
      <c r="P65" s="81" t="s">
        <v>97</v>
      </c>
      <c r="Q65" s="84"/>
      <c r="R65" s="81" t="s">
        <v>97</v>
      </c>
      <c r="S65" s="81" t="s">
        <v>98</v>
      </c>
      <c r="T65" s="83">
        <v>100</v>
      </c>
      <c r="U65" s="83">
        <v>1.5</v>
      </c>
      <c r="V65" s="81">
        <v>0</v>
      </c>
      <c r="W65" s="83">
        <v>0.4</v>
      </c>
      <c r="X65" s="81" t="s">
        <v>97</v>
      </c>
      <c r="Y65" s="83">
        <v>0.5</v>
      </c>
      <c r="Z65" s="83">
        <v>1.9</v>
      </c>
      <c r="AA65" s="81">
        <v>3</v>
      </c>
      <c r="AB65" s="81" t="s">
        <v>98</v>
      </c>
      <c r="AC65" s="81" t="s">
        <v>98</v>
      </c>
      <c r="AD65" s="81" t="s">
        <v>99</v>
      </c>
      <c r="AE65" s="81" t="s">
        <v>104</v>
      </c>
      <c r="AF65" s="20">
        <f t="shared" si="8"/>
        <v>2.7142857142857144</v>
      </c>
      <c r="AG65" s="13">
        <f t="shared" si="1"/>
        <v>0</v>
      </c>
      <c r="AH65" s="7">
        <f t="shared" si="2"/>
        <v>10</v>
      </c>
      <c r="AI65" s="7">
        <f t="shared" si="3"/>
        <v>0</v>
      </c>
      <c r="AJ65" s="7">
        <f t="shared" si="4"/>
        <v>0</v>
      </c>
      <c r="AK65" s="7">
        <f t="shared" si="5"/>
        <v>6</v>
      </c>
      <c r="AL65" s="12">
        <f t="shared" si="9"/>
        <v>16</v>
      </c>
      <c r="AM65" s="14" t="str">
        <f t="shared" si="7"/>
        <v>Potential</v>
      </c>
      <c r="AN65" s="81"/>
      <c r="AO65" s="83"/>
      <c r="AP65" s="10" t="s">
        <v>252</v>
      </c>
    </row>
    <row r="66" spans="1:42" ht="30" x14ac:dyDescent="0.25">
      <c r="A66" s="85">
        <v>45170</v>
      </c>
      <c r="B66" s="86" t="s">
        <v>92</v>
      </c>
      <c r="C66" s="81">
        <v>3702073</v>
      </c>
      <c r="D66" s="81" t="s">
        <v>126</v>
      </c>
      <c r="E66" s="87">
        <v>10</v>
      </c>
      <c r="F66" s="88">
        <v>516959.52171313699</v>
      </c>
      <c r="G66" s="88">
        <v>6018229.2164875697</v>
      </c>
      <c r="H66" s="87" t="s">
        <v>190</v>
      </c>
      <c r="I66" s="87" t="s">
        <v>131</v>
      </c>
      <c r="J66" s="95" t="s">
        <v>92</v>
      </c>
      <c r="K66" s="87" t="s">
        <v>92</v>
      </c>
      <c r="L66" s="81" t="s">
        <v>95</v>
      </c>
      <c r="M66" s="81" t="s">
        <v>96</v>
      </c>
      <c r="N66" s="83">
        <v>0.6</v>
      </c>
      <c r="O66" s="83">
        <v>13</v>
      </c>
      <c r="P66" s="81" t="s">
        <v>97</v>
      </c>
      <c r="Q66" s="84"/>
      <c r="R66" s="81" t="s">
        <v>97</v>
      </c>
      <c r="S66" s="81" t="s">
        <v>97</v>
      </c>
      <c r="T66" s="84"/>
      <c r="U66" s="83">
        <v>0.5</v>
      </c>
      <c r="V66" s="81">
        <v>0</v>
      </c>
      <c r="W66" s="83">
        <v>0</v>
      </c>
      <c r="X66" s="81" t="s">
        <v>97</v>
      </c>
      <c r="Y66" s="83">
        <v>2</v>
      </c>
      <c r="Z66" s="83">
        <v>1.7</v>
      </c>
      <c r="AA66" s="81">
        <v>1.5</v>
      </c>
      <c r="AB66" s="81" t="s">
        <v>97</v>
      </c>
      <c r="AC66" s="81" t="s">
        <v>97</v>
      </c>
      <c r="AD66" s="81" t="s">
        <v>99</v>
      </c>
      <c r="AE66" s="81" t="s">
        <v>100</v>
      </c>
      <c r="AF66" s="20">
        <f t="shared" si="8"/>
        <v>2.8333333333333335</v>
      </c>
      <c r="AG66" s="13">
        <f t="shared" si="1"/>
        <v>0</v>
      </c>
      <c r="AH66" s="7">
        <f t="shared" si="2"/>
        <v>10</v>
      </c>
      <c r="AI66" s="7">
        <f t="shared" si="3"/>
        <v>0</v>
      </c>
      <c r="AJ66" s="7">
        <f t="shared" si="4"/>
        <v>5</v>
      </c>
      <c r="AK66" s="7">
        <f t="shared" si="5"/>
        <v>6</v>
      </c>
      <c r="AL66" s="12">
        <f t="shared" si="9"/>
        <v>21</v>
      </c>
      <c r="AM66" s="14" t="str">
        <f t="shared" si="7"/>
        <v>Barrier</v>
      </c>
      <c r="AN66" s="81"/>
      <c r="AO66" s="83"/>
      <c r="AP66" s="10" t="s">
        <v>253</v>
      </c>
    </row>
    <row r="67" spans="1:42" x14ac:dyDescent="0.25">
      <c r="A67" s="85">
        <v>45170</v>
      </c>
      <c r="B67" s="86" t="s">
        <v>92</v>
      </c>
      <c r="C67" s="81">
        <v>3700931</v>
      </c>
      <c r="D67" s="81" t="s">
        <v>126</v>
      </c>
      <c r="E67" s="87">
        <v>10</v>
      </c>
      <c r="F67" s="88">
        <v>519546.89035942301</v>
      </c>
      <c r="G67" s="88">
        <v>6017741.6506373202</v>
      </c>
      <c r="H67" s="87" t="s">
        <v>188</v>
      </c>
      <c r="I67" s="87" t="s">
        <v>177</v>
      </c>
      <c r="J67" s="95" t="s">
        <v>92</v>
      </c>
      <c r="K67" s="87" t="s">
        <v>92</v>
      </c>
      <c r="L67" s="81" t="s">
        <v>121</v>
      </c>
      <c r="M67" s="81" t="s">
        <v>122</v>
      </c>
      <c r="N67" s="83">
        <v>12</v>
      </c>
      <c r="O67" s="83">
        <v>2.2000000000000002</v>
      </c>
      <c r="P67" s="82"/>
      <c r="Q67" s="84"/>
      <c r="R67" s="82"/>
      <c r="S67" s="82"/>
      <c r="T67" s="84"/>
      <c r="U67" s="84"/>
      <c r="V67" s="82"/>
      <c r="W67" s="84"/>
      <c r="X67" s="82"/>
      <c r="Y67" s="84"/>
      <c r="Z67" s="84"/>
      <c r="AA67" s="82"/>
      <c r="AB67" s="81" t="s">
        <v>97</v>
      </c>
      <c r="AC67" s="81" t="s">
        <v>97</v>
      </c>
      <c r="AD67" s="82"/>
      <c r="AE67" s="82"/>
      <c r="AF67" s="20">
        <f t="shared" si="8"/>
        <v>0</v>
      </c>
      <c r="AG67" s="13">
        <f t="shared" si="1"/>
        <v>0</v>
      </c>
      <c r="AH67" s="7">
        <f t="shared" si="2"/>
        <v>0</v>
      </c>
      <c r="AI67" s="7">
        <f t="shared" si="3"/>
        <v>0</v>
      </c>
      <c r="AJ67" s="7">
        <f t="shared" si="4"/>
        <v>0</v>
      </c>
      <c r="AK67" s="7">
        <f t="shared" si="5"/>
        <v>0</v>
      </c>
      <c r="AL67" s="12">
        <f t="shared" si="9"/>
        <v>0</v>
      </c>
      <c r="AM67" s="14" t="str">
        <f t="shared" si="7"/>
        <v>Passable</v>
      </c>
      <c r="AN67" s="82"/>
      <c r="AO67" s="84"/>
      <c r="AP67" s="10" t="s">
        <v>254</v>
      </c>
    </row>
    <row r="68" spans="1:42" ht="30" x14ac:dyDescent="0.25">
      <c r="A68" s="85">
        <v>45171</v>
      </c>
      <c r="B68" s="86" t="s">
        <v>92</v>
      </c>
      <c r="C68" s="81">
        <v>3701268</v>
      </c>
      <c r="D68" s="81" t="s">
        <v>126</v>
      </c>
      <c r="E68" s="87">
        <v>10</v>
      </c>
      <c r="F68" s="88">
        <v>513674.029839592</v>
      </c>
      <c r="G68" s="88">
        <v>6067268.2203022297</v>
      </c>
      <c r="H68" s="87" t="s">
        <v>150</v>
      </c>
      <c r="I68" s="87" t="s">
        <v>177</v>
      </c>
      <c r="J68" s="95" t="s">
        <v>92</v>
      </c>
      <c r="K68" s="87" t="s">
        <v>92</v>
      </c>
      <c r="L68" s="81" t="s">
        <v>95</v>
      </c>
      <c r="M68" s="81" t="s">
        <v>96</v>
      </c>
      <c r="N68" s="83">
        <v>1.4</v>
      </c>
      <c r="O68" s="83">
        <v>5</v>
      </c>
      <c r="P68" s="81" t="s">
        <v>97</v>
      </c>
      <c r="Q68" s="84"/>
      <c r="R68" s="81" t="s">
        <v>97</v>
      </c>
      <c r="S68" s="81" t="s">
        <v>98</v>
      </c>
      <c r="T68" s="83">
        <v>75</v>
      </c>
      <c r="U68" s="83">
        <v>0.5</v>
      </c>
      <c r="V68" s="81">
        <v>0</v>
      </c>
      <c r="W68" s="83">
        <v>0.4</v>
      </c>
      <c r="X68" s="81" t="s">
        <v>97</v>
      </c>
      <c r="Y68" s="83">
        <v>1</v>
      </c>
      <c r="Z68" s="83">
        <v>2.2000000000000002</v>
      </c>
      <c r="AA68" s="81">
        <v>1</v>
      </c>
      <c r="AB68" s="81" t="s">
        <v>97</v>
      </c>
      <c r="AC68" s="81" t="s">
        <v>98</v>
      </c>
      <c r="AD68" s="81" t="s">
        <v>99</v>
      </c>
      <c r="AE68" s="81" t="s">
        <v>107</v>
      </c>
      <c r="AF68" s="20">
        <f t="shared" si="8"/>
        <v>1.5714285714285716</v>
      </c>
      <c r="AG68" s="13">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6</v>
      </c>
      <c r="AL68" s="12">
        <f t="shared" si="9"/>
        <v>21</v>
      </c>
      <c r="AM68" s="14" t="str">
        <f t="shared" ref="AM68:AM131" si="15">IF(ISBLANK(L68), "", IF(L68 = "Open Bottom Structure", "Passable", IF(L68 = "Other", "Unknown", IF(AL68 &lt; 15, "Passable", IF(AND(AL68 &gt;= 15,AL68 &lt;= 19), "Potential", IF(AL68 &gt; 19, "Barrier", ""))))))</f>
        <v>Barrier</v>
      </c>
      <c r="AN68" s="81"/>
      <c r="AO68" s="83"/>
      <c r="AP68" s="10" t="s">
        <v>255</v>
      </c>
    </row>
    <row r="69" spans="1:42" ht="30" x14ac:dyDescent="0.25">
      <c r="A69" s="85">
        <v>45171</v>
      </c>
      <c r="B69" s="86" t="s">
        <v>92</v>
      </c>
      <c r="C69" s="81">
        <v>3702414</v>
      </c>
      <c r="D69" s="81" t="s">
        <v>126</v>
      </c>
      <c r="E69" s="87">
        <v>10</v>
      </c>
      <c r="F69" s="88">
        <v>517706.712303854</v>
      </c>
      <c r="G69" s="88">
        <v>6068216.7178635104</v>
      </c>
      <c r="H69" s="87" t="s">
        <v>150</v>
      </c>
      <c r="I69" s="87" t="s">
        <v>191</v>
      </c>
      <c r="J69" s="95" t="s">
        <v>92</v>
      </c>
      <c r="K69" s="87" t="s">
        <v>92</v>
      </c>
      <c r="L69" s="81" t="s">
        <v>121</v>
      </c>
      <c r="M69" s="81" t="s">
        <v>122</v>
      </c>
      <c r="N69" s="83">
        <v>8</v>
      </c>
      <c r="O69" s="83">
        <v>4</v>
      </c>
      <c r="P69" s="82"/>
      <c r="Q69" s="84"/>
      <c r="R69" s="82"/>
      <c r="S69" s="82"/>
      <c r="T69" s="84"/>
      <c r="U69" s="84"/>
      <c r="V69" s="82"/>
      <c r="W69" s="84"/>
      <c r="X69" s="82"/>
      <c r="Y69" s="84"/>
      <c r="Z69" s="84"/>
      <c r="AA69" s="82"/>
      <c r="AB69" s="81" t="s">
        <v>97</v>
      </c>
      <c r="AC69" s="81" t="s">
        <v>97</v>
      </c>
      <c r="AD69" s="82"/>
      <c r="AE69" s="82"/>
      <c r="AF69" s="20">
        <f t="shared" si="8"/>
        <v>0</v>
      </c>
      <c r="AG69" s="13">
        <f t="shared" si="10"/>
        <v>0</v>
      </c>
      <c r="AH69" s="7">
        <f t="shared" si="11"/>
        <v>0</v>
      </c>
      <c r="AI69" s="7">
        <f t="shared" si="12"/>
        <v>0</v>
      </c>
      <c r="AJ69" s="7">
        <f t="shared" si="13"/>
        <v>0</v>
      </c>
      <c r="AK69" s="7">
        <f t="shared" si="14"/>
        <v>0</v>
      </c>
      <c r="AL69" s="12">
        <f t="shared" si="9"/>
        <v>0</v>
      </c>
      <c r="AM69" s="14" t="str">
        <f t="shared" si="15"/>
        <v>Passable</v>
      </c>
      <c r="AN69" s="82"/>
      <c r="AO69" s="84"/>
      <c r="AP69" s="10" t="s">
        <v>256</v>
      </c>
    </row>
    <row r="70" spans="1:42" x14ac:dyDescent="0.25">
      <c r="A70" s="85">
        <v>45171</v>
      </c>
      <c r="B70" s="86" t="s">
        <v>92</v>
      </c>
      <c r="C70" s="81">
        <v>3702410</v>
      </c>
      <c r="D70" s="81" t="s">
        <v>126</v>
      </c>
      <c r="E70" s="87">
        <v>10</v>
      </c>
      <c r="F70" s="88">
        <v>517910.55094485497</v>
      </c>
      <c r="G70" s="88">
        <v>6068378.0848026499</v>
      </c>
      <c r="H70" s="87" t="s">
        <v>105</v>
      </c>
      <c r="I70" s="87" t="s">
        <v>151</v>
      </c>
      <c r="J70" s="95" t="s">
        <v>92</v>
      </c>
      <c r="K70" s="87" t="s">
        <v>92</v>
      </c>
      <c r="L70" s="81" t="s">
        <v>121</v>
      </c>
      <c r="M70" s="81" t="s">
        <v>122</v>
      </c>
      <c r="N70" s="83">
        <v>16</v>
      </c>
      <c r="O70" s="83">
        <v>4</v>
      </c>
      <c r="P70" s="82"/>
      <c r="Q70" s="84"/>
      <c r="R70" s="82"/>
      <c r="S70" s="82"/>
      <c r="T70" s="84"/>
      <c r="U70" s="84"/>
      <c r="V70" s="82"/>
      <c r="W70" s="84"/>
      <c r="X70" s="82"/>
      <c r="Y70" s="84"/>
      <c r="Z70" s="84"/>
      <c r="AA70" s="82"/>
      <c r="AB70" s="81" t="s">
        <v>97</v>
      </c>
      <c r="AC70" s="81" t="s">
        <v>97</v>
      </c>
      <c r="AD70" s="82"/>
      <c r="AE70" s="82"/>
      <c r="AF70" s="20">
        <f t="shared" si="8"/>
        <v>0</v>
      </c>
      <c r="AG70" s="13">
        <f t="shared" si="10"/>
        <v>0</v>
      </c>
      <c r="AH70" s="7">
        <f t="shared" si="11"/>
        <v>0</v>
      </c>
      <c r="AI70" s="7">
        <f t="shared" si="12"/>
        <v>0</v>
      </c>
      <c r="AJ70" s="7">
        <f t="shared" si="13"/>
        <v>0</v>
      </c>
      <c r="AK70" s="7">
        <f t="shared" si="14"/>
        <v>0</v>
      </c>
      <c r="AL70" s="12">
        <f t="shared" si="9"/>
        <v>0</v>
      </c>
      <c r="AM70" s="14" t="str">
        <f t="shared" si="15"/>
        <v>Passable</v>
      </c>
      <c r="AN70" s="82"/>
      <c r="AO70" s="84"/>
      <c r="AP70" s="10" t="s">
        <v>257</v>
      </c>
    </row>
    <row r="71" spans="1:42" x14ac:dyDescent="0.25">
      <c r="A71" s="85">
        <v>45171</v>
      </c>
      <c r="B71" s="86" t="s">
        <v>92</v>
      </c>
      <c r="C71" s="81">
        <v>3702416</v>
      </c>
      <c r="D71" s="81" t="s">
        <v>126</v>
      </c>
      <c r="E71" s="87">
        <v>10</v>
      </c>
      <c r="F71" s="88">
        <v>518833.22672244499</v>
      </c>
      <c r="G71" s="88">
        <v>6067888.1161763202</v>
      </c>
      <c r="H71" s="87" t="s">
        <v>92</v>
      </c>
      <c r="I71" s="87" t="s">
        <v>151</v>
      </c>
      <c r="J71" s="95" t="s">
        <v>92</v>
      </c>
      <c r="K71" s="87" t="s">
        <v>92</v>
      </c>
      <c r="L71" s="81" t="s">
        <v>121</v>
      </c>
      <c r="M71" s="81" t="s">
        <v>122</v>
      </c>
      <c r="N71" s="83">
        <v>10</v>
      </c>
      <c r="O71" s="83">
        <v>4</v>
      </c>
      <c r="P71" s="82"/>
      <c r="Q71" s="84"/>
      <c r="R71" s="82"/>
      <c r="S71" s="82"/>
      <c r="T71" s="84"/>
      <c r="U71" s="84"/>
      <c r="V71" s="82"/>
      <c r="W71" s="84"/>
      <c r="X71" s="82"/>
      <c r="Y71" s="84"/>
      <c r="Z71" s="84"/>
      <c r="AA71" s="82"/>
      <c r="AB71" s="81" t="s">
        <v>97</v>
      </c>
      <c r="AC71" s="81" t="s">
        <v>97</v>
      </c>
      <c r="AD71" s="82"/>
      <c r="AE71" s="82"/>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Passable</v>
      </c>
      <c r="AN71" s="82"/>
      <c r="AO71" s="84"/>
      <c r="AP71" s="10" t="s">
        <v>258</v>
      </c>
    </row>
    <row r="72" spans="1:42" ht="30" x14ac:dyDescent="0.25">
      <c r="A72" s="85">
        <v>45171</v>
      </c>
      <c r="B72" s="86" t="s">
        <v>92</v>
      </c>
      <c r="C72" s="81">
        <v>3701315</v>
      </c>
      <c r="D72" s="81" t="s">
        <v>126</v>
      </c>
      <c r="E72" s="87">
        <v>10</v>
      </c>
      <c r="F72" s="88">
        <v>520855.701317186</v>
      </c>
      <c r="G72" s="88">
        <v>6068063.9475141298</v>
      </c>
      <c r="H72" s="87" t="s">
        <v>150</v>
      </c>
      <c r="I72" s="87" t="s">
        <v>151</v>
      </c>
      <c r="J72" s="95">
        <v>8.9</v>
      </c>
      <c r="K72" s="87" t="s">
        <v>92</v>
      </c>
      <c r="L72" s="81" t="s">
        <v>121</v>
      </c>
      <c r="M72" s="81" t="s">
        <v>122</v>
      </c>
      <c r="N72" s="83">
        <v>17</v>
      </c>
      <c r="O72" s="83">
        <v>4.5</v>
      </c>
      <c r="P72" s="82"/>
      <c r="Q72" s="84"/>
      <c r="R72" s="82"/>
      <c r="S72" s="82"/>
      <c r="T72" s="84"/>
      <c r="U72" s="84"/>
      <c r="V72" s="82"/>
      <c r="W72" s="84"/>
      <c r="X72" s="82"/>
      <c r="Y72" s="84"/>
      <c r="Z72" s="84"/>
      <c r="AA72" s="82"/>
      <c r="AB72" s="81" t="s">
        <v>97</v>
      </c>
      <c r="AC72" s="81" t="s">
        <v>97</v>
      </c>
      <c r="AD72" s="82"/>
      <c r="AE72" s="82"/>
      <c r="AF72" s="20">
        <f t="shared" si="8"/>
        <v>0</v>
      </c>
      <c r="AG72" s="13">
        <f t="shared" si="10"/>
        <v>0</v>
      </c>
      <c r="AH72" s="7">
        <f t="shared" si="11"/>
        <v>0</v>
      </c>
      <c r="AI72" s="7">
        <f t="shared" si="12"/>
        <v>0</v>
      </c>
      <c r="AJ72" s="7">
        <f t="shared" si="13"/>
        <v>0</v>
      </c>
      <c r="AK72" s="7">
        <f t="shared" si="14"/>
        <v>0</v>
      </c>
      <c r="AL72" s="12">
        <f t="shared" si="16"/>
        <v>0</v>
      </c>
      <c r="AM72" s="14" t="str">
        <f t="shared" si="15"/>
        <v>Passable</v>
      </c>
      <c r="AN72" s="82"/>
      <c r="AO72" s="84"/>
      <c r="AP72" s="10" t="s">
        <v>259</v>
      </c>
    </row>
    <row r="73" spans="1:42" x14ac:dyDescent="0.25">
      <c r="A73" s="85">
        <v>45171</v>
      </c>
      <c r="B73" s="86" t="s">
        <v>92</v>
      </c>
      <c r="C73" s="81">
        <v>3700214</v>
      </c>
      <c r="D73" s="81" t="s">
        <v>186</v>
      </c>
      <c r="E73" s="87">
        <v>10</v>
      </c>
      <c r="F73" s="88">
        <v>525284.82216335996</v>
      </c>
      <c r="G73" s="88">
        <v>6068220.7238386096</v>
      </c>
      <c r="H73" s="87" t="s">
        <v>192</v>
      </c>
      <c r="I73" s="87" t="s">
        <v>191</v>
      </c>
      <c r="J73" s="95">
        <v>13.9</v>
      </c>
      <c r="K73" s="87" t="s">
        <v>92</v>
      </c>
      <c r="L73" s="81" t="s">
        <v>121</v>
      </c>
      <c r="M73" s="81" t="s">
        <v>122</v>
      </c>
      <c r="N73" s="83">
        <v>16</v>
      </c>
      <c r="O73" s="83">
        <v>4</v>
      </c>
      <c r="P73" s="82"/>
      <c r="Q73" s="84"/>
      <c r="R73" s="82"/>
      <c r="S73" s="82"/>
      <c r="T73" s="84"/>
      <c r="U73" s="84"/>
      <c r="V73" s="82"/>
      <c r="W73" s="84"/>
      <c r="X73" s="82"/>
      <c r="Y73" s="84"/>
      <c r="Z73" s="84"/>
      <c r="AA73" s="82"/>
      <c r="AB73" s="81" t="s">
        <v>97</v>
      </c>
      <c r="AC73" s="81" t="s">
        <v>97</v>
      </c>
      <c r="AD73" s="82"/>
      <c r="AE73" s="82"/>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Passable</v>
      </c>
      <c r="AN73" s="82"/>
      <c r="AO73" s="84"/>
      <c r="AP73" s="10" t="s">
        <v>260</v>
      </c>
    </row>
    <row r="74" spans="1:42" ht="30" x14ac:dyDescent="0.25">
      <c r="A74" s="58">
        <v>45171</v>
      </c>
      <c r="B74" s="57" t="s">
        <v>92</v>
      </c>
      <c r="C74" s="10">
        <v>3702575</v>
      </c>
      <c r="D74" s="10" t="s">
        <v>126</v>
      </c>
      <c r="E74" s="11">
        <v>10</v>
      </c>
      <c r="F74" s="38">
        <v>522445.45089212002</v>
      </c>
      <c r="G74" s="38">
        <v>6053488.8722574003</v>
      </c>
      <c r="H74" s="11" t="s">
        <v>193</v>
      </c>
      <c r="I74" s="11" t="s">
        <v>194</v>
      </c>
      <c r="J74" s="22" t="s">
        <v>92</v>
      </c>
      <c r="K74" s="11" t="s">
        <v>92</v>
      </c>
      <c r="L74" s="10" t="s">
        <v>121</v>
      </c>
      <c r="M74" s="10" t="s">
        <v>122</v>
      </c>
      <c r="N74" s="83">
        <v>10</v>
      </c>
      <c r="O74" s="83">
        <v>4</v>
      </c>
      <c r="P74" s="82"/>
      <c r="Q74" s="84"/>
      <c r="R74" s="82"/>
      <c r="S74" s="82"/>
      <c r="T74" s="84"/>
      <c r="U74" s="84"/>
      <c r="V74" s="82"/>
      <c r="W74" s="84"/>
      <c r="X74" s="82"/>
      <c r="Y74" s="84"/>
      <c r="Z74" s="84"/>
      <c r="AA74" s="82"/>
      <c r="AB74" s="10" t="s">
        <v>97</v>
      </c>
      <c r="AC74" s="10" t="s">
        <v>97</v>
      </c>
      <c r="AD74" s="82"/>
      <c r="AE74" s="82"/>
      <c r="AF74" s="20">
        <f t="shared" si="17"/>
        <v>0</v>
      </c>
      <c r="AG74" s="13">
        <f t="shared" si="10"/>
        <v>0</v>
      </c>
      <c r="AH74" s="7">
        <f t="shared" si="11"/>
        <v>0</v>
      </c>
      <c r="AI74" s="7">
        <f t="shared" si="12"/>
        <v>0</v>
      </c>
      <c r="AJ74" s="7">
        <f t="shared" si="13"/>
        <v>0</v>
      </c>
      <c r="AK74" s="7">
        <f t="shared" si="14"/>
        <v>0</v>
      </c>
      <c r="AL74" s="12">
        <f t="shared" si="16"/>
        <v>0</v>
      </c>
      <c r="AM74" s="14" t="str">
        <f t="shared" si="15"/>
        <v>Passable</v>
      </c>
      <c r="AN74" s="82"/>
      <c r="AO74" s="84"/>
      <c r="AP74" s="10" t="s">
        <v>92</v>
      </c>
    </row>
    <row r="75" spans="1:42" x14ac:dyDescent="0.25">
      <c r="A75" s="58"/>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x14ac:dyDescent="0.25">
      <c r="A76" s="58"/>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x14ac:dyDescent="0.25">
      <c r="A77" s="58"/>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x14ac:dyDescent="0.25">
      <c r="A78" s="58"/>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x14ac:dyDescent="0.25">
      <c r="A79" s="58"/>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x14ac:dyDescent="0.25">
      <c r="A80" s="58"/>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8"/>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8"/>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8"/>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8"/>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8"/>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8"/>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8"/>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8"/>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8"/>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8"/>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8"/>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8"/>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8"/>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8"/>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8"/>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8"/>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8"/>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8"/>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8"/>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8"/>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8"/>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8"/>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8"/>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8"/>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8"/>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8"/>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8"/>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8"/>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8"/>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8"/>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8"/>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8"/>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8"/>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8"/>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8"/>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8"/>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8"/>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8"/>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8"/>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8"/>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8"/>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8"/>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8"/>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8"/>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8"/>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8"/>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8"/>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8"/>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8"/>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8"/>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8"/>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8"/>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8"/>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8"/>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8"/>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8"/>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8"/>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8"/>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8"/>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8"/>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8"/>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8"/>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8"/>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8"/>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8"/>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8"/>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8"/>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8"/>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8"/>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8"/>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8"/>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8"/>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8"/>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8"/>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8"/>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8"/>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8"/>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8"/>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8"/>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8"/>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8"/>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8"/>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8"/>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8"/>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8"/>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8"/>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8"/>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8"/>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8"/>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8"/>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8"/>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8"/>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8"/>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8"/>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8"/>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8"/>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8"/>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8"/>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8"/>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8"/>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8"/>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8"/>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8"/>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8"/>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8"/>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8"/>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8"/>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8"/>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8"/>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8"/>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8"/>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8"/>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8"/>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8"/>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8"/>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8"/>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8"/>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8"/>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8"/>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8"/>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8"/>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8"/>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8"/>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8"/>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8"/>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8"/>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8"/>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8"/>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8"/>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8"/>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8"/>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8"/>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8"/>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8"/>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8"/>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8"/>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8"/>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8"/>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8"/>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8"/>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8"/>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8"/>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8"/>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8"/>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8"/>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8"/>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8"/>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8"/>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8"/>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8"/>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8"/>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8"/>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8"/>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8"/>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8"/>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8"/>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8"/>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8"/>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8"/>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8"/>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8"/>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8"/>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8"/>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8"/>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8"/>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8"/>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8"/>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8"/>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8"/>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8"/>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8"/>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8"/>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8"/>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8"/>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8"/>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8"/>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8"/>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8"/>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8"/>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8"/>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8"/>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8"/>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8"/>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8"/>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8"/>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8"/>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8"/>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8"/>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8"/>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8"/>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8"/>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8"/>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8"/>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8"/>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8"/>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8"/>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8"/>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8"/>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8"/>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8"/>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8"/>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8"/>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8"/>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8"/>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8"/>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8"/>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8"/>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8"/>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8"/>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8"/>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8"/>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8"/>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8"/>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8"/>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8"/>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8"/>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8"/>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8"/>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8"/>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8"/>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8"/>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8"/>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8"/>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8"/>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8"/>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8"/>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8"/>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8"/>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8"/>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8"/>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8"/>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8"/>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8"/>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8"/>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8"/>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8"/>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8"/>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8"/>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8"/>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8"/>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8"/>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8"/>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8"/>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8"/>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8"/>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8"/>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8"/>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8"/>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8"/>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8"/>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8"/>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8"/>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8"/>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8"/>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8"/>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8"/>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8"/>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8"/>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8"/>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8"/>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8"/>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8"/>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8"/>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8"/>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8"/>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8"/>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8"/>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8"/>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8"/>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8"/>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8"/>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8"/>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8"/>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8"/>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8"/>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8"/>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8"/>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8"/>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8"/>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8"/>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8"/>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8"/>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8"/>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8"/>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8"/>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8"/>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8"/>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8"/>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8"/>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8"/>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8"/>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8"/>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8"/>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8"/>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8"/>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8"/>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8"/>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8"/>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8"/>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8"/>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8"/>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8"/>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8"/>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8"/>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8"/>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8"/>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8"/>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8"/>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8"/>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8"/>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8"/>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8"/>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8"/>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8"/>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8"/>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8"/>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8"/>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8"/>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8"/>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8"/>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8"/>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8"/>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8"/>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8"/>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8"/>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8"/>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8"/>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8"/>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8"/>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8"/>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8"/>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8"/>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8"/>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8"/>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8"/>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8"/>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8"/>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8"/>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8"/>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8"/>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8"/>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8"/>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8"/>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8"/>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8"/>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8"/>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8"/>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8"/>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8"/>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8"/>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8"/>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8"/>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8"/>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8"/>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8"/>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8"/>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8"/>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8"/>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8"/>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8"/>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8"/>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8"/>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8"/>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8"/>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8"/>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8"/>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8"/>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8"/>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8"/>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8"/>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8"/>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8"/>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8"/>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8"/>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8"/>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8"/>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8"/>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8"/>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8"/>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8"/>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8"/>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8"/>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8"/>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8"/>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8"/>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8"/>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8"/>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8"/>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8"/>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8"/>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8"/>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8"/>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8"/>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8"/>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8"/>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8"/>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8"/>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8"/>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8"/>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8"/>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8"/>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8"/>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8"/>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8"/>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8"/>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8"/>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8"/>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8"/>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8"/>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8"/>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8"/>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8"/>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8"/>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8"/>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8"/>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8"/>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8"/>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8"/>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8"/>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8"/>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8"/>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8"/>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8"/>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8"/>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8"/>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8"/>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8"/>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8"/>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8"/>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8"/>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8"/>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8"/>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8"/>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8"/>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8"/>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8"/>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8"/>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8"/>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8"/>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8"/>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8"/>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8"/>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8"/>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8"/>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8"/>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8"/>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8"/>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8"/>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8"/>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8"/>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8"/>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8"/>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8"/>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8"/>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8"/>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8"/>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8"/>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8"/>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8"/>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8"/>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8"/>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8"/>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8"/>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8"/>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8"/>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8"/>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8"/>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8"/>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8"/>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8"/>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8"/>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8"/>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8"/>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8"/>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8"/>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8"/>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8"/>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8"/>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8"/>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8"/>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8"/>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8"/>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8"/>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8"/>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8"/>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8"/>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8"/>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8"/>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8"/>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8"/>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8"/>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8"/>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8"/>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8"/>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8"/>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8"/>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8"/>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8"/>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8"/>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8"/>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8"/>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8"/>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8"/>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8"/>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8"/>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8"/>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8"/>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8"/>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8"/>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8"/>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8"/>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8"/>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8"/>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8"/>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8"/>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8"/>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8"/>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8"/>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8"/>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8"/>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8"/>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8"/>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8"/>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8"/>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8"/>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8"/>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8"/>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8"/>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8"/>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8"/>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8"/>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8"/>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8"/>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8"/>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8"/>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8"/>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8"/>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8"/>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8"/>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8"/>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8"/>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8"/>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8"/>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8"/>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8"/>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8"/>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8"/>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8"/>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8"/>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8"/>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8"/>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8"/>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8"/>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8"/>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8"/>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8"/>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8"/>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8"/>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8"/>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8"/>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8"/>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8"/>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8"/>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8"/>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8"/>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8"/>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8"/>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8"/>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8"/>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8"/>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8"/>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8"/>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8"/>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8"/>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8"/>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8"/>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8"/>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8"/>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8"/>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8"/>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8"/>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8"/>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8"/>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8"/>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8"/>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8"/>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8"/>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8"/>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8"/>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8"/>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8"/>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8"/>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8"/>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8"/>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8"/>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8"/>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8"/>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8"/>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8"/>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8"/>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8"/>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8"/>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8"/>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8"/>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8"/>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8"/>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8"/>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8"/>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8"/>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8"/>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8"/>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8"/>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8"/>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8"/>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8"/>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8"/>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8"/>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8"/>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8"/>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8"/>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8"/>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8"/>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8"/>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8"/>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8"/>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8"/>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8"/>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8"/>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8"/>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8"/>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8"/>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8"/>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8"/>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8"/>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8"/>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8"/>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8"/>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8"/>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8"/>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8"/>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8"/>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8"/>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8"/>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8"/>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8"/>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8"/>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8"/>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8"/>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8"/>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8"/>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8"/>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8"/>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8"/>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8"/>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8"/>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8"/>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8"/>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8"/>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8"/>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8"/>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8"/>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8"/>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8"/>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8"/>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8"/>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8"/>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8"/>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8"/>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8"/>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8"/>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8"/>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8"/>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8"/>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8"/>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8"/>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8"/>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8"/>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8"/>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8"/>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8"/>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8"/>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8"/>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8"/>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8"/>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8"/>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8"/>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8"/>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8"/>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8"/>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8"/>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8"/>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8"/>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8"/>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8"/>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8"/>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8"/>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8"/>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8"/>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8"/>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8"/>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8"/>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8"/>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8"/>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8"/>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8"/>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8"/>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8"/>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8"/>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8"/>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8"/>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8"/>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8"/>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8"/>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8"/>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8"/>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8"/>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8"/>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8"/>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8"/>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8"/>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8"/>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8"/>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8"/>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8"/>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8"/>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8"/>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8"/>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8"/>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8"/>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8"/>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8"/>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8"/>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8"/>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8"/>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8"/>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8"/>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8"/>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8"/>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8"/>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8"/>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8"/>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8"/>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8"/>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8"/>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8"/>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8"/>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8"/>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8"/>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8"/>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8"/>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8"/>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8"/>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8"/>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8"/>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8"/>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8"/>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8"/>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8"/>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8"/>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8"/>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8"/>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8"/>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8"/>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8"/>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8"/>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8"/>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8"/>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8"/>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8"/>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8"/>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8"/>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8"/>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8"/>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8"/>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8"/>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8"/>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8"/>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8"/>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8"/>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8"/>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8"/>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8"/>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8"/>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8"/>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8"/>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8"/>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8"/>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8"/>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8"/>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8"/>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8"/>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8"/>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8"/>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8"/>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8"/>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8"/>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8"/>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8"/>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8"/>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8"/>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8"/>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8"/>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8"/>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8"/>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8"/>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8"/>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8"/>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8"/>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8"/>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8"/>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8"/>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8"/>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8"/>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8"/>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8"/>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8"/>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8"/>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8"/>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8"/>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8"/>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8"/>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8"/>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8"/>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8"/>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8"/>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8"/>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8"/>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8"/>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8"/>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8"/>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8"/>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8"/>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8"/>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8"/>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8"/>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8"/>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8"/>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8"/>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8"/>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8"/>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8"/>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8"/>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8"/>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8"/>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8"/>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8"/>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8"/>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8"/>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8"/>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8"/>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8"/>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8"/>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8"/>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8"/>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8"/>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8"/>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8"/>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8"/>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8"/>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8"/>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8"/>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8"/>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8"/>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8"/>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8"/>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8"/>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8"/>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8"/>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8"/>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8"/>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8"/>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8"/>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8"/>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8"/>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8"/>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8"/>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8"/>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8"/>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8"/>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8"/>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8"/>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8"/>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8"/>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8"/>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8"/>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8"/>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8"/>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8"/>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8"/>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8"/>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8"/>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8"/>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8"/>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8"/>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8"/>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8"/>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8"/>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8"/>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8"/>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8"/>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8"/>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8"/>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8"/>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8"/>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8"/>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8"/>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8"/>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8"/>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8"/>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8"/>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8"/>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8"/>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8"/>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8"/>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8"/>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8"/>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8"/>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8"/>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8"/>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8"/>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8"/>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8"/>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8"/>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8"/>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8"/>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8"/>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8"/>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8"/>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UX6y/1vu5l9veDNQB32mxCcEuQwO0UCVUehEhsbVO8q8nrYHXKgl013mATbNoPxkvDpMNOM3o+HIQbQ0BfMj0A==" saltValue="FpOuEBCk7ZnJAH2c+n/SH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234">
    <dataValidation type="list" allowBlank="1" showInputMessage="1" showErrorMessage="1" sqref="AM5284:AM65536" xr:uid="{00000000-0002-0000-0200-000000000000}">
      <formula1>"Passable, Potential, Barrier, Unkown"</formula1>
    </dataValidation>
    <dataValidation type="list" allowBlank="1" showInputMessage="1" showErrorMessage="1" sqref="M7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0 Q48 Q50 Q7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48 N50 N7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1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list" allowBlank="1" showInputMessage="1" showErrorMessage="1" errorTitle="Invalid value entered" error="The crossing subtype is not compatible with a crossing type of Closed Bottom Structure" sqref="M52" xr:uid="{0459DF4F-3F38-49CE-BBF1-4EC2C4E1BCE4}">
      <formula1>"Round Culvert,Oval Culvert,Concrete Box"</formula1>
    </dataValidation>
    <dataValidation type="decimal" allowBlank="1" showInputMessage="1" showErrorMessage="1" errorTitle="Invalid Diamter or Span" error="The Diameter or Span entered is invalid. Diameter or Span must be &gt; 0 and &lt; 300" sqref="N52" xr:uid="{C62F8DF7-1A32-42B2-93DD-3D5B6B76B199}">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52" xr:uid="{2386E3ED-BEC3-4BEF-A5B9-37FCB5445CDB}">
      <formula1>0.01</formula1>
      <formula2>0.99</formula2>
    </dataValidation>
    <dataValidation type="list" allowBlank="1" showInputMessage="1" showErrorMessage="1" errorTitle="Invalid value entered" error="The crossing subtype is not compatible with a crossing type of Closed Bottom Structure" sqref="M5" xr:uid="{852DE88E-F2CA-47B7-9C1A-2A2BEC57C482}">
      <formula1>"Round Culvert,Oval Culvert,Concrete Box"</formula1>
    </dataValidation>
    <dataValidation type="decimal" allowBlank="1" showInputMessage="1" showErrorMessage="1" errorTitle="Invalid Diamter or Span" error="The Diameter or Span entered is invalid. Diameter or Span must be &gt; 0 and &lt; 300" sqref="N5" xr:uid="{01D88206-E4CE-4AA5-BDE2-8C83B47803D5}">
      <formula1>0.01</formula1>
      <formula2>300</formula2>
    </dataValidation>
    <dataValidation type="decimal" allowBlank="1" showInputMessage="1" showErrorMessage="1" errorTitle="Invalid value entered" error="The Average Depth Embededdment you entered is invalid. The Average Depth Embededdment must be &lt;= 1.17 and &gt;= 0.01" sqref="Q5" xr:uid="{9320373F-E185-43CB-A11E-9CCB3A52A95E}">
      <formula1>0.01</formula1>
      <formula2>1.17</formula2>
    </dataValidation>
    <dataValidation type="list" allowBlank="1" showInputMessage="1" showErrorMessage="1" errorTitle="Invalid value entered" error="The crossing subtype is not compatible with a crossing type of Closed Bottom Structure" sqref="M6" xr:uid="{5AB2ABE0-A439-46F9-B1FA-B98BBA432A87}">
      <formula1>"Round Culvert,Oval Culvert,Concrete Box"</formula1>
    </dataValidation>
    <dataValidation type="decimal" allowBlank="1" showInputMessage="1" showErrorMessage="1" errorTitle="Invalid Diamter or Span" error="The Diameter or Span entered is invalid. Diameter or Span must be &gt; 0 and &lt; 300" sqref="N6" xr:uid="{EB30E6FE-5D8A-41F2-A1F0-49AE4C6F9BF0}">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6" xr:uid="{6E1527A2-D1CA-4F8C-8D4A-E69C5F0F91E4}">
      <formula1>0.01</formula1>
      <formula2>0.69</formula2>
    </dataValidation>
    <dataValidation type="list" allowBlank="1" showInputMessage="1" showErrorMessage="1" errorTitle="Invalid value entered" error="The crossing subtype is not compatible with a crossing type of Closed Bottom Structure" sqref="M7" xr:uid="{F308A997-2C44-43DD-869A-2781D85B3933}">
      <formula1>"Round Culvert,Oval Culvert,Concrete Box"</formula1>
    </dataValidation>
    <dataValidation type="decimal" allowBlank="1" showInputMessage="1" showErrorMessage="1" errorTitle="Invalid Diamter or Span" error="The Diameter or Span entered is invalid. Diameter or Span must be &gt; 0 and &lt; 300" sqref="N7" xr:uid="{B67AD379-D8AC-462E-87D7-0377FEAE3567}">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7" xr:uid="{6C0E0004-0394-47A7-8CE3-97BA9B47E96F}">
      <formula1>0.01</formula1>
      <formula2>3.49</formula2>
    </dataValidation>
    <dataValidation type="list" allowBlank="1" showInputMessage="1" showErrorMessage="1" errorTitle="Invalid value entered" error="The crossing subtype is not compatible with a crossing type of Closed Bottom Structure" sqref="M8" xr:uid="{80185B9B-EE5F-4F5A-83AD-2174B344BDF2}">
      <formula1>"Round Culvert,Oval Culvert,Concrete Box"</formula1>
    </dataValidation>
    <dataValidation type="decimal" allowBlank="1" showInputMessage="1" showErrorMessage="1" errorTitle="Invalid Diamter or Span" error="The Diameter or Span entered is invalid. Diameter or Span must be &gt; 0 and &lt; 300" sqref="N8" xr:uid="{5E19E675-D32E-49D8-904A-192620D345A4}">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8" xr:uid="{B1794A18-FDD4-4DFD-8B70-C5936648EBC2}">
      <formula1>0.01</formula1>
      <formula2>0.59</formula2>
    </dataValidation>
    <dataValidation type="list" allowBlank="1" showInputMessage="1" showErrorMessage="1" errorTitle="Invalid value entered" error="The crossing subtype is not compatible with a crossing type of Closed Bottom Structure" sqref="M9" xr:uid="{E0C88C30-E7B2-4845-92E9-B6E482069470}">
      <formula1>"Round Culvert,Oval Culvert,Concrete Box"</formula1>
    </dataValidation>
    <dataValidation type="decimal" allowBlank="1" showInputMessage="1" showErrorMessage="1" errorTitle="Invalid Diamter or Span" error="The Diameter or Span entered is invalid. Diameter or Span must be &gt; 0 and &lt; 300" sqref="N9" xr:uid="{2408198D-1E39-4400-8615-23409C0EE769}">
      <formula1>0.01</formula1>
      <formula2>300</formula2>
    </dataValidation>
    <dataValidation type="decimal" allowBlank="1" showInputMessage="1" showErrorMessage="1" errorTitle="Invalid value entered" error="The Average Depth Embededdment you entered is invalid. The Average Depth Embededdment must be &lt;= 4.19 and &gt;= 0.01" sqref="Q9" xr:uid="{46EEC155-45AF-4019-9687-8DA4F50F42C5}">
      <formula1>0.01</formula1>
      <formula2>4.19</formula2>
    </dataValidation>
    <dataValidation type="list" allowBlank="1" showInputMessage="1" showErrorMessage="1" errorTitle="Invalid value entered" error="The crossing subtype is not compatible with a crossing type of Other" sqref="M10" xr:uid="{4D2E8EE7-95CC-4AC0-8A48-C813B0CDC20D}">
      <formula1>"Ford"</formula1>
    </dataValidation>
    <dataValidation type="list" allowBlank="1" showInputMessage="1" showErrorMessage="1" errorTitle="Invalid value entered" error="The crossing subtype is not compatible with a crossing type of Closed Bottom Structure" sqref="M11" xr:uid="{890FB070-340F-4351-8F59-EF82D6E5C8C7}">
      <formula1>"Round Culvert,Oval Culvert,Concrete Box"</formula1>
    </dataValidation>
    <dataValidation type="decimal" allowBlank="1" showInputMessage="1" showErrorMessage="1" errorTitle="Invalid Diamter or Span" error="The Diameter or Span entered is invalid. Diameter or Span must be &gt; 0 and &lt; 300" sqref="N11" xr:uid="{BEA2CB8E-C8FA-441E-AA6F-BF0490FFFF8D}">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1" xr:uid="{2B76DB04-B51D-4E77-8E9C-FB49D4B392E9}">
      <formula1>0.01</formula1>
      <formula2>1.19</formula2>
    </dataValidation>
    <dataValidation type="list" allowBlank="1" showInputMessage="1" showErrorMessage="1" errorTitle="Invalid value entered" error="The crossing subtype is not compatible with a crossing type of Closed Bottom Structure" sqref="M12" xr:uid="{EB3F2C8B-90EB-45E4-AFFA-33CDD41856C9}">
      <formula1>"Round Culvert,Oval Culvert,Concrete Box"</formula1>
    </dataValidation>
    <dataValidation type="decimal" allowBlank="1" showInputMessage="1" showErrorMessage="1" errorTitle="Invalid Diamter or Span" error="The Diameter or Span entered is invalid. Diameter or Span must be &gt; 0 and &lt; 300" sqref="N12" xr:uid="{B6AAFB92-8FB4-4124-8075-B401D55C5290}">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2" xr:uid="{D0ACAB47-48B9-4A06-9029-18387CEE428E}">
      <formula1>0.01</formula1>
      <formula2>2.49</formula2>
    </dataValidation>
    <dataValidation type="list" allowBlank="1" showInputMessage="1" showErrorMessage="1" errorTitle="Invalid value entered" error="The crossing subtype is not compatible with a crossing type of Closed Bottom Structure" sqref="M13" xr:uid="{3E6FAB48-F572-4299-8022-05A1FCDAF669}">
      <formula1>"Round Culvert,Oval Culvert,Concrete Box"</formula1>
    </dataValidation>
    <dataValidation type="decimal" allowBlank="1" showInputMessage="1" showErrorMessage="1" errorTitle="Invalid Diamter or Span" error="The Diameter or Span entered is invalid. Diameter or Span must be &gt; 0 and &lt; 300" sqref="N13" xr:uid="{EF1C5136-F45B-425D-997F-A5630B8ED3BC}">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3" xr:uid="{F94A2EC2-3D71-4571-9169-0E47E5B44425}">
      <formula1>0.01</formula1>
      <formula2>1.19</formula2>
    </dataValidation>
    <dataValidation type="list" allowBlank="1" showInputMessage="1" showErrorMessage="1" errorTitle="Invalid value entered" error="The crossing subtype is not compatible with a crossing type of Closed Bottom Structure" sqref="M14" xr:uid="{017B853F-0038-4F34-B1DB-A96FE8EC7FB3}">
      <formula1>"Round Culvert,Oval Culvert,Concrete Box"</formula1>
    </dataValidation>
    <dataValidation type="decimal" allowBlank="1" showInputMessage="1" showErrorMessage="1" errorTitle="Invalid Diamter or Span" error="The Diameter or Span entered is invalid. Diameter or Span must be &gt; 0 and &lt; 300" sqref="N14" xr:uid="{A7F2AD7C-5697-4975-9568-8897AF1CD40F}">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4" xr:uid="{6852C138-0747-4A8A-90D0-4469FD42E62D}">
      <formula1>0.01</formula1>
      <formula2>0.89</formula2>
    </dataValidation>
    <dataValidation type="list" allowBlank="1" showInputMessage="1" showErrorMessage="1" errorTitle="Invalid value entered" error="The crossing subtype is not compatible with a crossing type of Open Bottom Structure" sqref="M15" xr:uid="{39F48772-BAD6-413D-9498-04299BFDFE23}">
      <formula1>"Bridge, Pipe Arch, Wood Box Culvert"</formula1>
    </dataValidation>
    <dataValidation type="decimal" allowBlank="1" showInputMessage="1" showErrorMessage="1" errorTitle="Invalid Diamter or Span" error="The Diameter or Span entered is invalid. Diameter or Span must be &gt; 0 and &lt; 100" sqref="N15" xr:uid="{45E38A7A-F9B6-4A93-B417-4684EF3D4557}">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5" xr:uid="{8949D951-1C90-4658-8D94-D28BA10544EC}">
      <formula1>0.01</formula1>
      <formula2>5.99</formula2>
    </dataValidation>
    <dataValidation type="list" allowBlank="1" showInputMessage="1" showErrorMessage="1" errorTitle="Invalid value entered" error="The crossing subtype is not compatible with a crossing type of Open Bottom Structure" sqref="M16" xr:uid="{79FF1915-B64B-413C-BD5B-8A31C0B66854}">
      <formula1>"Bridge, Pipe Arch, Wood Box Culvert"</formula1>
    </dataValidation>
    <dataValidation type="decimal" allowBlank="1" showInputMessage="1" showErrorMessage="1" errorTitle="Invalid Diamter or Span" error="The Diameter or Span entered is invalid. Diameter or Span must be &gt; 0 and &lt; 100" sqref="N16" xr:uid="{31CFFE57-5780-4F86-A61F-D19DD14CB411}">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6" xr:uid="{6E03E35A-3E00-491C-B0E9-9B5423506FFA}">
      <formula1>0.01</formula1>
      <formula2>5.99</formula2>
    </dataValidation>
    <dataValidation type="list" allowBlank="1" showInputMessage="1" showErrorMessage="1" errorTitle="Invalid value entered" error="The crossing subtype is not compatible with a crossing type of Closed Bottom Structure" sqref="M17" xr:uid="{26D08901-B8F7-49E6-A7CC-74060325C0D0}">
      <formula1>"Round Culvert,Oval Culvert,Concrete Box"</formula1>
    </dataValidation>
    <dataValidation type="decimal" allowBlank="1" showInputMessage="1" showErrorMessage="1" errorTitle="Invalid Diamter or Span" error="The Diameter or Span entered is invalid. Diameter or Span must be &gt; 0 and &lt; 300" sqref="N17" xr:uid="{FC5EC941-5A43-4F37-8041-8F67D215943F}">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7" xr:uid="{3196F47F-8B3A-4654-AABA-84F455059272}">
      <formula1>0.01</formula1>
      <formula2>2.49</formula2>
    </dataValidation>
    <dataValidation type="list" allowBlank="1" showInputMessage="1" showErrorMessage="1" errorTitle="Invalid value entered" error="The crossing subtype is not compatible with a crossing type of Closed Bottom Structure" sqref="M18" xr:uid="{6F3E4DD3-2DDC-4E1D-A64E-730644BB7CAE}">
      <formula1>"Round Culvert,Oval Culvert,Concrete Box"</formula1>
    </dataValidation>
    <dataValidation type="decimal" allowBlank="1" showInputMessage="1" showErrorMessage="1" errorTitle="Invalid Diamter or Span" error="The Diameter or Span entered is invalid. Diameter or Span must be &gt; 0 and &lt; 300" sqref="N18" xr:uid="{A8C87026-9075-4C56-ACA0-E478F443EDF9}">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8" xr:uid="{AEC72E4A-7EB3-48B6-AA1C-01391DC0BC11}">
      <formula1>0.01</formula1>
      <formula2>1.19</formula2>
    </dataValidation>
    <dataValidation type="list" allowBlank="1" showInputMessage="1" showErrorMessage="1" errorTitle="Invalid value entered" error="The crossing subtype is not compatible with a crossing type of Closed Bottom Structure" sqref="M19" xr:uid="{6858F989-A909-41B4-AB5B-BA443949C93D}">
      <formula1>"Round Culvert,Oval Culvert,Concrete Box"</formula1>
    </dataValidation>
    <dataValidation type="decimal" allowBlank="1" showInputMessage="1" showErrorMessage="1" errorTitle="Invalid Diamter or Span" error="The Diameter or Span entered is invalid. Diameter or Span must be &gt; 0 and &lt; 300" sqref="N19" xr:uid="{E3F721E2-CAEF-43D9-9DFE-E8B385E45263}">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9" xr:uid="{423F7D1F-EDB1-4023-B4D6-436A6BF8B974}">
      <formula1>0.01</formula1>
      <formula2>0.79</formula2>
    </dataValidation>
    <dataValidation type="list" allowBlank="1" showInputMessage="1" showErrorMessage="1" errorTitle="Invalid value entered" error="The crossing subtype is not compatible with a crossing type of Closed Bottom Structure" sqref="M20" xr:uid="{EBE08FC1-CE71-4FFE-9226-162536431340}">
      <formula1>"Round Culvert,Oval Culvert,Concrete Box"</formula1>
    </dataValidation>
    <dataValidation type="decimal" allowBlank="1" showInputMessage="1" showErrorMessage="1" errorTitle="Invalid Diamter or Span" error="The Diameter or Span entered is invalid. Diameter or Span must be &gt; 0 and &lt; 300" sqref="N20" xr:uid="{5EE7F6A5-BB30-4887-BB65-5B6F6B407DEC}">
      <formula1>0.01</formula1>
      <formula2>300</formula2>
    </dataValidation>
    <dataValidation type="decimal" allowBlank="1" showInputMessage="1" showErrorMessage="1" errorTitle="Invalid value entered" error="The Average Depth Embededdment you entered is invalid. The Average Depth Embededdment must be &lt;= 1.89 and &gt;= 0.01" sqref="Q20" xr:uid="{8549ABFF-22F9-49FE-98BB-6C65B7BD8DF9}">
      <formula1>0.01</formula1>
      <formula2>1.89</formula2>
    </dataValidation>
    <dataValidation type="list" allowBlank="1" showInputMessage="1" showErrorMessage="1" errorTitle="Invalid value entered" error="The crossing subtype is not compatible with a crossing type of Open Bottom Structure" sqref="M21" xr:uid="{B0F8431C-C352-4455-AB94-50BF12D90CF4}">
      <formula1>"Bridge, Pipe Arch, Wood Box Culvert"</formula1>
    </dataValidation>
    <dataValidation type="decimal" allowBlank="1" showInputMessage="1" showErrorMessage="1" errorTitle="Invalid Diamter or Span" error="The Diameter or Span entered is invalid. Diameter or Span must be &gt; 0 and &lt; 100" sqref="N21" xr:uid="{BBA0C417-DDE2-499B-964B-DD9E1FD2D0DA}">
      <formula1>0.01</formula1>
      <formula2>100</formula2>
    </dataValidation>
    <dataValidation type="decimal" allowBlank="1" showInputMessage="1" showErrorMessage="1" errorTitle="Invalid value entered" error="The Average Depth Embededdment you entered is invalid. The Average Depth Embededdment must be &lt;= 14.99 and &gt;= 0.01" sqref="Q21" xr:uid="{A96C01AB-2149-4324-BBD4-B9E8F92B66E0}">
      <formula1>0.01</formula1>
      <formula2>14.99</formula2>
    </dataValidation>
    <dataValidation type="list" allowBlank="1" showInputMessage="1" showErrorMessage="1" errorTitle="Invalid value entered" error="The crossing subtype is not compatible with a crossing type of Closed Bottom Structure" sqref="M22" xr:uid="{03A7AB33-20B7-478B-A08B-AF040C777E2B}">
      <formula1>"Round Culvert,Oval Culvert,Concrete Box"</formula1>
    </dataValidation>
    <dataValidation type="decimal" allowBlank="1" showInputMessage="1" showErrorMessage="1" errorTitle="Invalid Diamter or Span" error="The Diameter or Span entered is invalid. Diameter or Span must be &gt; 0 and &lt; 300" sqref="N22" xr:uid="{11AC099D-93AB-44C1-9D61-0D36C548F520}">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22" xr:uid="{ED797896-95B1-452B-8528-73AAE8A23B06}">
      <formula1>0.01</formula1>
      <formula2>0.79</formula2>
    </dataValidation>
    <dataValidation type="list" allowBlank="1" showInputMessage="1" showErrorMessage="1" errorTitle="Invalid value entered" error="The crossing subtype is not compatible with a crossing type of Closed Bottom Structure" sqref="M23" xr:uid="{BF71AC3E-6CCA-4471-A7B4-61EA5B1FDAE9}">
      <formula1>"Round Culvert,Oval Culvert,Concrete Box"</formula1>
    </dataValidation>
    <dataValidation type="decimal" allowBlank="1" showInputMessage="1" showErrorMessage="1" errorTitle="Invalid Diamter or Span" error="The Diameter or Span entered is invalid. Diameter or Span must be &gt; 0 and &lt; 300" sqref="N23" xr:uid="{8A8DBF66-3F52-4F88-AB1E-E9A5E1C4DBD8}">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23" xr:uid="{7E83B125-9FEC-4A84-A4AF-08DC53EF82DC}">
      <formula1>0.01</formula1>
      <formula2>0.74</formula2>
    </dataValidation>
    <dataValidation type="list" allowBlank="1" showInputMessage="1" showErrorMessage="1" errorTitle="Invalid value entered" error="The crossing subtype is not compatible with a crossing type of Closed Bottom Structure" sqref="M24" xr:uid="{81D602FD-C77D-4FA2-A068-5274063963AA}">
      <formula1>"Round Culvert,Oval Culvert,Concrete Box"</formula1>
    </dataValidation>
    <dataValidation type="decimal" allowBlank="1" showInputMessage="1" showErrorMessage="1" errorTitle="Invalid Diamter or Span" error="The Diameter or Span entered is invalid. Diameter or Span must be &gt; 0 and &lt; 300" sqref="N24" xr:uid="{14DAACC7-B6C7-418F-9943-A9CFBE0D3C5E}">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24" xr:uid="{42A2B195-7DED-4489-B7D9-56A1BA10B793}">
      <formula1>0.01</formula1>
      <formula2>0.59</formula2>
    </dataValidation>
    <dataValidation type="list" allowBlank="1" showInputMessage="1" showErrorMessage="1" errorTitle="Invalid value entered" error="The crossing subtype is not compatible with a crossing type of Closed Bottom Structure" sqref="M25" xr:uid="{9B83EDE5-CC5A-480F-9790-B2702E78AB57}">
      <formula1>"Round Culvert,Oval Culvert,Concrete Box"</formula1>
    </dataValidation>
    <dataValidation type="decimal" allowBlank="1" showInputMessage="1" showErrorMessage="1" errorTitle="Invalid Diamter or Span" error="The Diameter or Span entered is invalid. Diameter or Span must be &gt; 0 and &lt; 300" sqref="N25" xr:uid="{FEBFCB35-A34B-480F-B18B-DFBCA0EA0A01}">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25" xr:uid="{057514B1-00BA-4CD8-A91C-45F143B0B18F}">
      <formula1>0.01</formula1>
      <formula2>1.09</formula2>
    </dataValidation>
    <dataValidation type="list" allowBlank="1" showInputMessage="1" showErrorMessage="1" errorTitle="Invalid value entered" error="The crossing subtype is not compatible with a crossing type of Open Bottom Structure" sqref="M26" xr:uid="{4B28D201-1B0E-4046-8DEA-F10A220EFF66}">
      <formula1>"Bridge, Pipe Arch, Wood Box Culvert"</formula1>
    </dataValidation>
    <dataValidation type="decimal" allowBlank="1" showInputMessage="1" showErrorMessage="1" errorTitle="Invalid Diamter or Span" error="The Diameter or Span entered is invalid. Diameter or Span must be &gt; 0 and &lt; 100" sqref="N26" xr:uid="{936A2E10-1A15-45A3-B599-DF6813CF2670}">
      <formula1>0.01</formula1>
      <formula2>100</formula2>
    </dataValidation>
    <dataValidation type="decimal" allowBlank="1" showInputMessage="1" showErrorMessage="1" errorTitle="Invalid value entered" error="The Average Depth Embededdment you entered is invalid. The Average Depth Embededdment must be &lt;= 3.49 and &gt;= 0.01" sqref="Q26" xr:uid="{B8331AAD-A9AF-44EC-95CE-EC0E6EDF33D2}">
      <formula1>0.01</formula1>
      <formula2>3.49</formula2>
    </dataValidation>
    <dataValidation type="list" allowBlank="1" showInputMessage="1" showErrorMessage="1" errorTitle="Invalid value entered" error="The crossing subtype is not compatible with a crossing type of Closed Bottom Structure" sqref="M27" xr:uid="{F6D84D82-038D-4BE8-8255-386CF1D240C7}">
      <formula1>"Round Culvert,Oval Culvert,Concrete Box"</formula1>
    </dataValidation>
    <dataValidation type="decimal" allowBlank="1" showInputMessage="1" showErrorMessage="1" errorTitle="Invalid Diamter or Span" error="The Diameter or Span entered is invalid. Diameter or Span must be &gt; 0 and &lt; 300" sqref="N27" xr:uid="{1886ED97-8ADE-4808-A799-88C9E9FD2F03}">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27" xr:uid="{462800EF-424B-45C3-98D0-E3F9ACF92DBC}">
      <formula1>0.01</formula1>
      <formula2>1.69</formula2>
    </dataValidation>
    <dataValidation type="list" allowBlank="1" showInputMessage="1" showErrorMessage="1" errorTitle="Invalid value entered" error="The crossing subtype is not compatible with a crossing type of Closed Bottom Structure" sqref="M28" xr:uid="{4480D357-F3BA-4A8D-963F-F170360D8F19}">
      <formula1>"Round Culvert,Oval Culvert,Concrete Box"</formula1>
    </dataValidation>
    <dataValidation type="decimal" allowBlank="1" showInputMessage="1" showErrorMessage="1" errorTitle="Invalid Diamter or Span" error="The Diameter or Span entered is invalid. Diameter or Span must be &gt; 0 and &lt; 300" sqref="N28" xr:uid="{C4E3839E-FD1A-4BB5-9797-1E519E4BAC5B}">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28" xr:uid="{1738093A-D1F1-43C8-B6C8-2DCD39D03C6A}">
      <formula1>0.01</formula1>
      <formula2>1.19</formula2>
    </dataValidation>
    <dataValidation type="list" allowBlank="1" showInputMessage="1" showErrorMessage="1" errorTitle="Invalid value entered" error="The crossing subtype is not compatible with a crossing type of Closed Bottom Structure" sqref="M29" xr:uid="{DEC53D06-9D9C-4F1A-93AA-D8568B888AEB}">
      <formula1>"Round Culvert,Oval Culvert,Concrete Box"</formula1>
    </dataValidation>
    <dataValidation type="decimal" allowBlank="1" showInputMessage="1" showErrorMessage="1" errorTitle="Invalid Diamter or Span" error="The Diameter or Span entered is invalid. Diameter or Span must be &gt; 0 and &lt; 300" sqref="N29" xr:uid="{69059707-C044-4577-987B-894601983721}">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29" xr:uid="{558DC956-B093-4553-8BF7-8EDB8344BB49}">
      <formula1>0.01</formula1>
      <formula2>1.79</formula2>
    </dataValidation>
    <dataValidation type="list" allowBlank="1" showInputMessage="1" showErrorMessage="1" errorTitle="Invalid value entered" error="The crossing subtype is not compatible with a crossing type of Other" sqref="M30" xr:uid="{10A17B13-19E9-4FFA-9E59-EA7BD98C4399}">
      <formula1>"Ford"</formula1>
    </dataValidation>
    <dataValidation type="list" allowBlank="1" showInputMessage="1" showErrorMessage="1" errorTitle="Invalid value entered" error="The crossing subtype is not compatible with a crossing type of Closed Bottom Structure" sqref="M31" xr:uid="{55656477-262F-465A-944E-6C6C88E789C5}">
      <formula1>"Round Culvert,Oval Culvert,Concrete Box"</formula1>
    </dataValidation>
    <dataValidation type="decimal" allowBlank="1" showInputMessage="1" showErrorMessage="1" errorTitle="Invalid Diamter or Span" error="The Diameter or Span entered is invalid. Diameter or Span must be &gt; 0 and &lt; 300" sqref="N31" xr:uid="{3003BC66-E246-4B5F-B578-8F0A1BFF5BE2}">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31" xr:uid="{DF03851A-33E2-45A2-B291-FD0531CCDB7C}">
      <formula1>0.01</formula1>
      <formula2>0.49</formula2>
    </dataValidation>
    <dataValidation type="list" allowBlank="1" showInputMessage="1" showErrorMessage="1" errorTitle="Invalid value entered" error="The crossing subtype is not compatible with a crossing type of Closed Bottom Structure" sqref="M32" xr:uid="{12E1C26B-7C31-4771-A7F5-0DA2AEB6EC54}">
      <formula1>"Round Culvert,Oval Culvert,Concrete Box"</formula1>
    </dataValidation>
    <dataValidation type="decimal" allowBlank="1" showInputMessage="1" showErrorMessage="1" errorTitle="Invalid Diamter or Span" error="The Diameter or Span entered is invalid. Diameter or Span must be &gt; 0 and &lt; 300" sqref="N32" xr:uid="{72DCF612-63B4-4C60-8703-BA6C2798A8BB}">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32" xr:uid="{A9A36CB0-9E78-4BE4-A539-7EE912D38ECE}">
      <formula1>0.01</formula1>
      <formula2>1.99</formula2>
    </dataValidation>
    <dataValidation type="list" allowBlank="1" showInputMessage="1" showErrorMessage="1" errorTitle="Invalid value entered" error="The crossing subtype is not compatible with a crossing type of Closed Bottom Structure" sqref="M33" xr:uid="{5E3EDF8E-9BC8-45E7-8C48-0059F5DA5B32}">
      <formula1>"Round Culvert,Oval Culvert,Concrete Box"</formula1>
    </dataValidation>
    <dataValidation type="decimal" allowBlank="1" showInputMessage="1" showErrorMessage="1" errorTitle="Invalid Diamter or Span" error="The Diameter or Span entered is invalid. Diameter or Span must be &gt; 0 and &lt; 300" sqref="N33" xr:uid="{5D9511D9-E96F-4F37-902B-8C011A98649B}">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33" xr:uid="{D099DA8B-F4CB-44CB-B623-FF02D77326FC}">
      <formula1>0.01</formula1>
      <formula2>1.49</formula2>
    </dataValidation>
    <dataValidation type="list" allowBlank="1" showInputMessage="1" showErrorMessage="1" errorTitle="Invalid value entered" error="The crossing subtype is not compatible with a crossing type of Closed Bottom Structure" sqref="M34" xr:uid="{73A14542-74C8-4B7A-A824-58919A1EC202}">
      <formula1>"Round Culvert,Oval Culvert,Concrete Box"</formula1>
    </dataValidation>
    <dataValidation type="decimal" allowBlank="1" showInputMessage="1" showErrorMessage="1" errorTitle="Invalid Diamter or Span" error="The Diameter or Span entered is invalid. Diameter or Span must be &gt; 0 and &lt; 300" sqref="N34" xr:uid="{54EEFBFE-22E9-487C-816F-B4E097FAE972}">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34" xr:uid="{2C6A168C-927F-4CD5-AF69-4FFB07BF00CA}">
      <formula1>0.01</formula1>
      <formula2>1.19</formula2>
    </dataValidation>
    <dataValidation type="list" allowBlank="1" showInputMessage="1" showErrorMessage="1" errorTitle="Invalid value entered" error="The crossing subtype is not compatible with a crossing type of Closed Bottom Structure" sqref="M35" xr:uid="{421E8C4A-114B-41E3-9723-269CD77F0057}">
      <formula1>"Round Culvert,Oval Culvert,Concrete Box"</formula1>
    </dataValidation>
    <dataValidation type="decimal" allowBlank="1" showInputMessage="1" showErrorMessage="1" errorTitle="Invalid Diamter or Span" error="The Diameter or Span entered is invalid. Diameter or Span must be &gt; 0 and &lt; 300" sqref="N35" xr:uid="{30CAB7A3-0522-49EC-8227-0368709A18D3}">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35" xr:uid="{9D68AC73-5B67-4E36-9548-C72F17DC5980}">
      <formula1>0.01</formula1>
      <formula2>0.89</formula2>
    </dataValidation>
    <dataValidation type="list" allowBlank="1" showInputMessage="1" showErrorMessage="1" errorTitle="Invalid value entered" error="The crossing subtype is not compatible with a crossing type of Closed Bottom Structure" sqref="M36" xr:uid="{BC6A7896-F9D3-4927-95FF-27CCA522C019}">
      <formula1>"Round Culvert,Oval Culvert,Concrete Box"</formula1>
    </dataValidation>
    <dataValidation type="decimal" allowBlank="1" showInputMessage="1" showErrorMessage="1" errorTitle="Invalid Diamter or Span" error="The Diameter or Span entered is invalid. Diameter or Span must be &gt; 0 and &lt; 300" sqref="N36" xr:uid="{DE6A03EB-F9E7-47ED-B78F-4251714BB245}">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36" xr:uid="{924DFBB3-4268-46D1-875A-7E3C1911D922}">
      <formula1>0.01</formula1>
      <formula2>0.69</formula2>
    </dataValidation>
    <dataValidation type="list" allowBlank="1" showInputMessage="1" showErrorMessage="1" errorTitle="Invalid value entered" error="The crossing subtype is not compatible with a crossing type of Closed Bottom Structure" sqref="M37" xr:uid="{13701F96-EBDE-4395-A1A1-9F654E57081E}">
      <formula1>"Round Culvert,Oval Culvert,Concrete Box"</formula1>
    </dataValidation>
    <dataValidation type="decimal" allowBlank="1" showInputMessage="1" showErrorMessage="1" errorTitle="Invalid Diamter or Span" error="The Diameter or Span entered is invalid. Diameter or Span must be &gt; 0 and &lt; 300" sqref="N37" xr:uid="{71CB31CF-6675-4E7F-A1DF-4A9C0F52CB71}">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37" xr:uid="{8399FCFF-3CFE-40FF-9B1D-9CDAD74615CA}">
      <formula1>0.01</formula1>
      <formula2>1.19</formula2>
    </dataValidation>
    <dataValidation type="list" allowBlank="1" showInputMessage="1" showErrorMessage="1" errorTitle="Invalid value entered" error="The crossing subtype is not compatible with a crossing type of Closed Bottom Structure" sqref="M38" xr:uid="{E240BE08-782A-444A-877C-9DD11AFDA56E}">
      <formula1>"Round Culvert,Oval Culvert,Concrete Box"</formula1>
    </dataValidation>
    <dataValidation type="decimal" allowBlank="1" showInputMessage="1" showErrorMessage="1" errorTitle="Invalid Diamter or Span" error="The Diameter or Span entered is invalid. Diameter or Span must be &gt; 0 and &lt; 300" sqref="N38" xr:uid="{E165DDA1-5174-4C6B-9CCA-D7D51EBE24C4}">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38" xr:uid="{F7FE55EC-847B-4C6E-A0E5-AA0DD1C113FA}">
      <formula1>0.01</formula1>
      <formula2>1.19</formula2>
    </dataValidation>
    <dataValidation type="list" allowBlank="1" showInputMessage="1" showErrorMessage="1" errorTitle="Invalid value entered" error="The crossing subtype is not compatible with a crossing type of Closed Bottom Structure" sqref="M39" xr:uid="{D81846AC-E9CF-4B85-A4BC-D6D1B0C630E3}">
      <formula1>"Round Culvert,Oval Culvert,Concrete Box"</formula1>
    </dataValidation>
    <dataValidation type="decimal" allowBlank="1" showInputMessage="1" showErrorMessage="1" errorTitle="Invalid Diamter or Span" error="The Diameter or Span entered is invalid. Diameter or Span must be &gt; 0 and &lt; 300" sqref="N39" xr:uid="{8CB76759-B3A3-45C2-A3FE-EC5B9AD33FC0}">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39" xr:uid="{B38F01E0-DCC0-43EF-8EB4-C1C0986770A6}">
      <formula1>0.01</formula1>
      <formula2>0.74</formula2>
    </dataValidation>
    <dataValidation type="list" allowBlank="1" showInputMessage="1" showErrorMessage="1" errorTitle="Invalid value entered" error="The crossing subtype is not compatible with a crossing type of Open Bottom Structure" sqref="M40" xr:uid="{0D1EF643-2417-4971-ABC9-6121F26570A9}">
      <formula1>"Bridge, Pipe Arch, Wood Box Culvert"</formula1>
    </dataValidation>
    <dataValidation type="decimal" allowBlank="1" showInputMessage="1" showErrorMessage="1" errorTitle="Invalid Diamter or Span" error="The Diameter or Span entered is invalid. Diameter or Span must be &gt; 0 and &lt; 100" sqref="N40" xr:uid="{E2A6BF49-1007-4B01-B3D1-9AEE47ADF54E}">
      <formula1>0.01</formula1>
      <formula2>100</formula2>
    </dataValidation>
    <dataValidation type="decimal" allowBlank="1" showInputMessage="1" showErrorMessage="1" errorTitle="Invalid value entered" error="The Average Depth Embededdment you entered is invalid. The Average Depth Embededdment must be &lt;= 14.99 and &gt;= 0.01" sqref="Q40" xr:uid="{D9A44196-ABE3-4CC8-A7BC-950AF2CDF171}">
      <formula1>0.01</formula1>
      <formula2>14.99</formula2>
    </dataValidation>
    <dataValidation type="list" allowBlank="1" showInputMessage="1" showErrorMessage="1" errorTitle="Invalid value entered" error="The crossing subtype is not compatible with a crossing type of Closed Bottom Structure" sqref="M41" xr:uid="{ED06E055-D291-4790-B076-B3878B9ED5E3}">
      <formula1>"Round Culvert,Oval Culvert,Concrete Box"</formula1>
    </dataValidation>
    <dataValidation type="decimal" allowBlank="1" showInputMessage="1" showErrorMessage="1" errorTitle="Invalid Diamter or Span" error="The Diameter or Span entered is invalid. Diameter or Span must be &gt; 0 and &lt; 300" sqref="N41" xr:uid="{CF5370C5-7B3A-4B7A-9097-79E6976312D0}">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41" xr:uid="{476966A8-0BA8-4482-9CE3-E812A00CCA36}">
      <formula1>0.01</formula1>
      <formula2>0.59</formula2>
    </dataValidation>
    <dataValidation type="list" allowBlank="1" showInputMessage="1" showErrorMessage="1" errorTitle="Invalid value entered" error="The crossing subtype is not compatible with a crossing type of Closed Bottom Structure" sqref="M42" xr:uid="{DFFE4C66-BD5C-439F-97F7-857D68DA4D4D}">
      <formula1>"Round Culvert,Oval Culvert,Concrete Box"</formula1>
    </dataValidation>
    <dataValidation type="decimal" allowBlank="1" showInputMessage="1" showErrorMessage="1" errorTitle="Invalid Diamter or Span" error="The Diameter or Span entered is invalid. Diameter or Span must be &gt; 0 and &lt; 300" sqref="N42" xr:uid="{A40D0AF1-F861-4C67-A692-9F1B48E59E52}">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42" xr:uid="{39811E34-7518-403B-BEE1-FA2EAA22410F}">
      <formula1>0.01</formula1>
      <formula2>1.49</formula2>
    </dataValidation>
    <dataValidation type="list" allowBlank="1" showInputMessage="1" showErrorMessage="1" errorTitle="Invalid value entered" error="The crossing subtype is not compatible with a crossing type of Closed Bottom Structure" sqref="M43" xr:uid="{05E95974-0824-4D27-8AF5-9759BE95A264}">
      <formula1>"Round Culvert,Oval Culvert,Concrete Box"</formula1>
    </dataValidation>
    <dataValidation type="decimal" allowBlank="1" showInputMessage="1" showErrorMessage="1" errorTitle="Invalid Diamter or Span" error="The Diameter or Span entered is invalid. Diameter or Span must be &gt; 0 and &lt; 300" sqref="N43" xr:uid="{B6635359-71C3-49D9-A272-4089FE1BAEA5}">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43" xr:uid="{D51F2415-0688-4EBC-89CA-A723290BAE6B}">
      <formula1>0.01</formula1>
      <formula2>3.49</formula2>
    </dataValidation>
    <dataValidation type="list" allowBlank="1" showInputMessage="1" showErrorMessage="1" errorTitle="Invalid value entered" error="The crossing subtype is not compatible with a crossing type of Closed Bottom Structure" sqref="M44" xr:uid="{5D3B8174-2FD0-40BA-83DC-E51B506208C5}">
      <formula1>"Round Culvert,Oval Culvert,Concrete Box"</formula1>
    </dataValidation>
    <dataValidation type="decimal" allowBlank="1" showInputMessage="1" showErrorMessage="1" errorTitle="Invalid Diamter or Span" error="The Diameter or Span entered is invalid. Diameter or Span must be &gt; 0 and &lt; 300" sqref="N44" xr:uid="{E0137FD0-B769-44A3-B5FE-9DADCB8A340D}">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44" xr:uid="{5ACA5B05-AAF0-4679-95BC-79275701DEAA}">
      <formula1>0.01</formula1>
      <formula2>0.59</formula2>
    </dataValidation>
    <dataValidation type="list" allowBlank="1" showInputMessage="1" showErrorMessage="1" errorTitle="Invalid value entered" error="The crossing subtype is not compatible with a crossing type of Open Bottom Structure" sqref="M45" xr:uid="{F699D455-E0EE-4280-9D07-1059E98A1268}">
      <formula1>"Bridge, Pipe Arch, Wood Box Culvert"</formula1>
    </dataValidation>
    <dataValidation type="decimal" allowBlank="1" showInputMessage="1" showErrorMessage="1" errorTitle="Invalid Diamter or Span" error="The Diameter or Span entered is invalid. Diameter or Span must be &gt; 0 and &lt; 100" sqref="N45" xr:uid="{601E4BF2-9880-480B-82C1-C9179BDDF8FA}">
      <formula1>0.01</formula1>
      <formula2>100</formula2>
    </dataValidation>
    <dataValidation type="decimal" allowBlank="1" showInputMessage="1" showErrorMessage="1" errorTitle="Invalid value entered" error="The Average Depth Embededdment you entered is invalid. The Average Depth Embededdment must be &lt;= 13.99 and &gt;= 0.01" sqref="Q45" xr:uid="{22367348-7072-445B-83E5-98E9041AB0B6}">
      <formula1>0.01</formula1>
      <formula2>13.99</formula2>
    </dataValidation>
    <dataValidation type="list" allowBlank="1" showInputMessage="1" showErrorMessage="1" errorTitle="Invalid value entered" error="The crossing subtype is not compatible with a crossing type of Closed Bottom Structure" sqref="M46" xr:uid="{C262F1B2-3165-4280-B513-800D5AE305AB}">
      <formula1>"Round Culvert,Oval Culvert,Concrete Box"</formula1>
    </dataValidation>
    <dataValidation type="decimal" allowBlank="1" showInputMessage="1" showErrorMessage="1" errorTitle="Invalid Diamter or Span" error="The Diameter or Span entered is invalid. Diameter or Span must be &gt; 0 and &lt; 300" sqref="N46" xr:uid="{8FFBF1DA-3D66-497D-B99E-32753C4FAA95}">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46" xr:uid="{0EFAFE9A-5E3E-4409-8B4C-A00EAA5FCC08}">
      <formula1>0.01</formula1>
      <formula2>0.49</formula2>
    </dataValidation>
    <dataValidation type="list" allowBlank="1" showInputMessage="1" showErrorMessage="1" errorTitle="Invalid value entered" error="The crossing subtype is not compatible with a crossing type of Closed Bottom Structure" sqref="M47" xr:uid="{964932B9-F34D-4B48-AC40-6BF564818295}">
      <formula1>"Round Culvert,Oval Culvert,Concrete Box"</formula1>
    </dataValidation>
    <dataValidation type="decimal" allowBlank="1" showInputMessage="1" showErrorMessage="1" errorTitle="Invalid Diamter or Span" error="The Diameter or Span entered is invalid. Diameter or Span must be &gt; 0 and &lt; 300" sqref="N47" xr:uid="{120A9FF2-50A7-415A-A5B4-04B5A8BF0CA5}">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47" xr:uid="{0D6B2B6D-7C7E-40B3-9094-49DA91653243}">
      <formula1>0.01</formula1>
      <formula2>0.99</formula2>
    </dataValidation>
    <dataValidation type="list" allowBlank="1" showInputMessage="1" showErrorMessage="1" errorTitle="Invalid value entered" error="The crossing subtype is not compatible with a crossing type of Other" sqref="M48" xr:uid="{8AEB3B39-F517-498D-8395-4AC1C1B2FC21}">
      <formula1>"Ford"</formula1>
    </dataValidation>
    <dataValidation type="list" allowBlank="1" showInputMessage="1" showErrorMessage="1" errorTitle="Invalid value entered" error="The crossing subtype is not compatible with a crossing type of Closed Bottom Structure" sqref="M49" xr:uid="{906E725A-E026-42C6-9667-C7D27683F495}">
      <formula1>"Round Culvert,Oval Culvert,Concrete Box"</formula1>
    </dataValidation>
    <dataValidation type="decimal" allowBlank="1" showInputMessage="1" showErrorMessage="1" errorTitle="Invalid Diamter or Span" error="The Diameter or Span entered is invalid. Diameter or Span must be &gt; 0 and &lt; 300" sqref="N49" xr:uid="{95D8CC61-1326-45EC-818A-11E03EBCA6D2}">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49" xr:uid="{8B72D786-6892-4738-9226-4186F92D20F4}">
      <formula1>0.01</formula1>
      <formula2>1.19</formula2>
    </dataValidation>
    <dataValidation type="list" allowBlank="1" showInputMessage="1" showErrorMessage="1" errorTitle="Invalid value entered" error="The crossing subtype is not compatible with a crossing type of Other" sqref="M50" xr:uid="{3544B6CB-FDA9-41D1-8171-6F72940E0D99}">
      <formula1>"Ford"</formula1>
    </dataValidation>
    <dataValidation type="list" allowBlank="1" showInputMessage="1" showErrorMessage="1" errorTitle="Invalid value entered" error="The crossing subtype is not compatible with a crossing type of Closed Bottom Structure" sqref="M51" xr:uid="{69299E0E-6911-4393-A3BA-C3471FA57B2A}">
      <formula1>"Round Culvert,Oval Culvert,Concrete Box"</formula1>
    </dataValidation>
    <dataValidation type="decimal" allowBlank="1" showInputMessage="1" showErrorMessage="1" errorTitle="Invalid Diamter or Span" error="The Diameter or Span entered is invalid. Diameter or Span must be &gt; 0 and &lt; 300" sqref="N51" xr:uid="{47007F73-F3DC-412B-B253-C481BE729B5D}">
      <formula1>0.01</formula1>
      <formula2>300</formula2>
    </dataValidation>
    <dataValidation type="decimal" allowBlank="1" showInputMessage="1" showErrorMessage="1" errorTitle="Invalid value entered" error="The Average Depth Embededdment you entered is invalid. The Average Depth Embededdment must be &lt;= 1.74 and &gt;= 0.01" sqref="Q51" xr:uid="{33F19AA9-FDBD-4BCF-A7E7-0F4EDEC68722}">
      <formula1>0.01</formula1>
      <formula2>1.74</formula2>
    </dataValidation>
    <dataValidation type="list" allowBlank="1" showInputMessage="1" showErrorMessage="1" errorTitle="Invalid value entered" error="The crossing subtype is not compatible with a crossing type of Closed Bottom Structure" sqref="M53" xr:uid="{E76825BE-F4D1-4423-A54E-2696C39D1E96}">
      <formula1>"Round Culvert,Oval Culvert,Concrete Box"</formula1>
    </dataValidation>
    <dataValidation type="decimal" allowBlank="1" showInputMessage="1" showErrorMessage="1" errorTitle="Invalid Diamter or Span" error="The Diameter or Span entered is invalid. Diameter or Span must be &gt; 0 and &lt; 300" sqref="N53" xr:uid="{B5E99159-FF98-4C80-961D-B2BEFB73322B}">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53" xr:uid="{94691445-C037-4028-AA85-D04232359189}">
      <formula1>0.01</formula1>
      <formula2>0.99</formula2>
    </dataValidation>
    <dataValidation type="list" allowBlank="1" showInputMessage="1" showErrorMessage="1" errorTitle="Invalid value entered" error="The crossing subtype is not compatible with a crossing type of Closed Bottom Structure" sqref="M54" xr:uid="{310E6CE4-8CF5-4DF4-ABDA-C20D68E86A93}">
      <formula1>"Round Culvert,Oval Culvert,Concrete Box"</formula1>
    </dataValidation>
    <dataValidation type="decimal" allowBlank="1" showInputMessage="1" showErrorMessage="1" errorTitle="Invalid Diamter or Span" error="The Diameter or Span entered is invalid. Diameter or Span must be &gt; 0 and &lt; 300" sqref="N54" xr:uid="{8AEA3F44-56DF-4F9E-94E3-6FBCD61A3771}">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54" xr:uid="{FE33B37D-0A8D-4D30-AC94-5C3CC701A8F6}">
      <formula1>0.01</formula1>
      <formula2>3.59</formula2>
    </dataValidation>
    <dataValidation type="list" allowBlank="1" showInputMessage="1" showErrorMessage="1" errorTitle="Invalid value entered" error="The crossing subtype is not compatible with a crossing type of Open Bottom Structure" sqref="M55" xr:uid="{BE6697C5-3A02-467A-866D-5885174C8BAE}">
      <formula1>"Bridge, Pipe Arch, Wood Box Culvert"</formula1>
    </dataValidation>
    <dataValidation type="decimal" allowBlank="1" showInputMessage="1" showErrorMessage="1" errorTitle="Invalid Diamter or Span" error="The Diameter or Span entered is invalid. Diameter or Span must be &gt; 0 and &lt; 100" sqref="N55" xr:uid="{165EDDF7-4829-4A0C-A282-DF2F3961F440}">
      <formula1>0.01</formula1>
      <formula2>100</formula2>
    </dataValidation>
    <dataValidation type="decimal" allowBlank="1" showInputMessage="1" showErrorMessage="1" errorTitle="Invalid value entered" error="The Average Depth Embededdment you entered is invalid. The Average Depth Embededdment must be &lt;= 19.59 and &gt;= 0.01" sqref="Q55" xr:uid="{84CFBAA2-4C5C-46F4-A6B6-FB3C4E58BC84}">
      <formula1>0.01</formula1>
      <formula2>19.59</formula2>
    </dataValidation>
    <dataValidation type="list" allowBlank="1" showInputMessage="1" showErrorMessage="1" errorTitle="Invalid value entered" error="The crossing subtype is not compatible with a crossing type of Closed Bottom Structure" sqref="M56" xr:uid="{2736A1DD-02C2-49CC-B774-827BEB99CDFE}">
      <formula1>"Round Culvert,Oval Culvert,Concrete Box"</formula1>
    </dataValidation>
    <dataValidation type="decimal" allowBlank="1" showInputMessage="1" showErrorMessage="1" errorTitle="Invalid Diamter or Span" error="The Diameter or Span entered is invalid. Diameter or Span must be &gt; 0 and &lt; 300" sqref="N56" xr:uid="{29AD89E3-FC78-41F0-992D-8C081A829C34}">
      <formula1>0.01</formula1>
      <formula2>300</formula2>
    </dataValidation>
    <dataValidation type="decimal" allowBlank="1" showInputMessage="1" showErrorMessage="1" errorTitle="Invalid value entered" error="The Average Depth Embededdment you entered is invalid. The Average Depth Embededdment must be &lt;= 1.74 and &gt;= 0.01" sqref="Q56" xr:uid="{392E480C-96D6-42E1-929D-A5D1CF7DA5F9}">
      <formula1>0.01</formula1>
      <formula2>1.74</formula2>
    </dataValidation>
    <dataValidation type="list" allowBlank="1" showInputMessage="1" showErrorMessage="1" errorTitle="Invalid value entered" error="The crossing subtype is not compatible with a crossing type of Closed Bottom Structure" sqref="M57" xr:uid="{5DC2C82C-3A2F-4667-B486-1C85850DAFAF}">
      <formula1>"Round Culvert,Oval Culvert,Concrete Box"</formula1>
    </dataValidation>
    <dataValidation type="decimal" allowBlank="1" showInputMessage="1" showErrorMessage="1" errorTitle="Invalid Diamter or Span" error="The Diameter or Span entered is invalid. Diameter or Span must be &gt; 0 and &lt; 300" sqref="N57" xr:uid="{692E4875-A3A9-4767-BD05-1E86D33BADE4}">
      <formula1>0.01</formula1>
      <formula2>300</formula2>
    </dataValidation>
    <dataValidation type="decimal" allowBlank="1" showInputMessage="1" showErrorMessage="1" errorTitle="Invalid value entered" error="The Average Depth Embededdment you entered is invalid. The Average Depth Embededdment must be &lt;= 1.74 and &gt;= 0.01" sqref="Q57" xr:uid="{48A96BA6-3B4D-42BD-8956-67EB95174180}">
      <formula1>0.01</formula1>
      <formula2>1.74</formula2>
    </dataValidation>
    <dataValidation type="list" allowBlank="1" showInputMessage="1" showErrorMessage="1" errorTitle="Invalid value entered" error="The crossing subtype is not compatible with a crossing type of Closed Bottom Structure" sqref="M58" xr:uid="{6AD7C88E-FE95-4126-9E3C-7428E0161241}">
      <formula1>"Round Culvert,Oval Culvert,Concrete Box"</formula1>
    </dataValidation>
    <dataValidation type="decimal" allowBlank="1" showInputMessage="1" showErrorMessage="1" errorTitle="Invalid Diamter or Span" error="The Diameter or Span entered is invalid. Diameter or Span must be &gt; 0 and &lt; 300" sqref="N58" xr:uid="{EFFCCAC2-6A24-438A-8C6E-40550B26B075}">
      <formula1>0.01</formula1>
      <formula2>300</formula2>
    </dataValidation>
    <dataValidation type="decimal" allowBlank="1" showInputMessage="1" showErrorMessage="1" errorTitle="Invalid value entered" error="The Average Depth Embededdment you entered is invalid. The Average Depth Embededdment must be &lt;= 2.09 and &gt;= 0.01" sqref="Q58" xr:uid="{CBDEC1DA-48F2-420B-84BA-4F280308054E}">
      <formula1>0.01</formula1>
      <formula2>2.09</formula2>
    </dataValidation>
    <dataValidation type="list" allowBlank="1" showInputMessage="1" showErrorMessage="1" errorTitle="Invalid value entered" error="The crossing subtype is not compatible with a crossing type of Closed Bottom Structure" sqref="M59" xr:uid="{752AB7BE-2190-4F84-84D2-C751E3459A2F}">
      <formula1>"Round Culvert,Oval Culvert,Concrete Box"</formula1>
    </dataValidation>
    <dataValidation type="decimal" allowBlank="1" showInputMessage="1" showErrorMessage="1" errorTitle="Invalid Diamter or Span" error="The Diameter or Span entered is invalid. Diameter or Span must be &gt; 0 and &lt; 300" sqref="N59" xr:uid="{6F916AA9-C7CA-4C8D-B680-22968CACACE2}">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9" xr:uid="{022F3C65-E7F9-44F6-984B-80487C2B0C9B}">
      <formula1>0.01</formula1>
      <formula2>1.19</formula2>
    </dataValidation>
    <dataValidation type="list" allowBlank="1" showInputMessage="1" showErrorMessage="1" errorTitle="Invalid value entered" error="The crossing subtype is not compatible with a crossing type of Open Bottom Structure" sqref="M60" xr:uid="{0E87F47C-BFDF-44BD-8F8B-D81B69CA61A5}">
      <formula1>"Bridge, Pipe Arch, Wood Box Culvert"</formula1>
    </dataValidation>
    <dataValidation type="decimal" allowBlank="1" showInputMessage="1" showErrorMessage="1" errorTitle="Invalid Diamter or Span" error="The Diameter or Span entered is invalid. Diameter or Span must be &gt; 0 and &lt; 100" sqref="N60" xr:uid="{E3189D7D-3F3D-4558-B3C4-8D671033DF93}">
      <formula1>0.01</formula1>
      <formula2>100</formula2>
    </dataValidation>
    <dataValidation type="decimal" allowBlank="1" showInputMessage="1" showErrorMessage="1" errorTitle="Invalid value entered" error="The Average Depth Embededdment you entered is invalid. The Average Depth Embededdment must be &lt;= 6.99 and &gt;= 0.01" sqref="Q60" xr:uid="{CF4EB35E-53E1-4DA0-AA5E-D735691D0A8C}">
      <formula1>0.01</formula1>
      <formula2>6.99</formula2>
    </dataValidation>
    <dataValidation type="list" allowBlank="1" showInputMessage="1" showErrorMessage="1" errorTitle="Invalid value entered" error="The crossing subtype is not compatible with a crossing type of Closed Bottom Structure" sqref="M61" xr:uid="{13CFB9D8-407B-48FE-B467-E0D1FDFD045F}">
      <formula1>"Round Culvert,Oval Culvert,Concrete Box"</formula1>
    </dataValidation>
    <dataValidation type="decimal" allowBlank="1" showInputMessage="1" showErrorMessage="1" errorTitle="Invalid Diamter or Span" error="The Diameter or Span entered is invalid. Diameter or Span must be &gt; 0 and &lt; 300" sqref="N61" xr:uid="{42FDAEBC-DCF8-4A95-9BB8-53F8A16AD882}">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61" xr:uid="{70EE51C4-7206-4EDB-8CE6-A92CE37F6032}">
      <formula1>0.01</formula1>
      <formula2>0.49</formula2>
    </dataValidation>
    <dataValidation type="list" allowBlank="1" showInputMessage="1" showErrorMessage="1" errorTitle="Invalid value entered" error="The crossing subtype is not compatible with a crossing type of Closed Bottom Structure" sqref="M62" xr:uid="{19C165D1-69A4-4FCD-8E66-CBF5289DA319}">
      <formula1>"Round Culvert,Oval Culvert,Concrete Box"</formula1>
    </dataValidation>
    <dataValidation type="decimal" allowBlank="1" showInputMessage="1" showErrorMessage="1" errorTitle="Invalid Diamter or Span" error="The Diameter or Span entered is invalid. Diameter or Span must be &gt; 0 and &lt; 300" sqref="N62" xr:uid="{BA0AFB61-F149-4178-B9DD-82CFA907F0E7}">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2" xr:uid="{50B31C6A-F02A-4035-B398-38C1504118EF}">
      <formula1>0.01</formula1>
      <formula2>1.19</formula2>
    </dataValidation>
    <dataValidation type="list" allowBlank="1" showInputMessage="1" showErrorMessage="1" errorTitle="Invalid value entered" error="The crossing subtype is not compatible with a crossing type of Open Bottom Structure" sqref="M63" xr:uid="{33A658EE-C507-43B4-A30E-2F34D12E4D2B}">
      <formula1>"Bridge, Pipe Arch, Wood Box Culvert"</formula1>
    </dataValidation>
    <dataValidation type="decimal" allowBlank="1" showInputMessage="1" showErrorMessage="1" errorTitle="Invalid Diamter or Span" error="The Diameter or Span entered is invalid. Diameter or Span must be &gt; 0 and &lt; 100" sqref="N63" xr:uid="{213DF385-123A-4978-869B-2015AE3ABDB5}">
      <formula1>0.01</formula1>
      <formula2>100</formula2>
    </dataValidation>
    <dataValidation type="decimal" allowBlank="1" showInputMessage="1" showErrorMessage="1" errorTitle="Invalid value entered" error="The Average Depth Embededdment you entered is invalid. The Average Depth Embededdment must be &lt;= 12.99 and &gt;= 0.01" sqref="Q63" xr:uid="{5AA39184-8C4F-426E-B486-800F6C845BCF}">
      <formula1>0.01</formula1>
      <formula2>12.99</formula2>
    </dataValidation>
    <dataValidation type="list" allowBlank="1" showInputMessage="1" showErrorMessage="1" errorTitle="Invalid value entered" error="The crossing subtype is not compatible with a crossing type of Closed Bottom Structure" sqref="M64" xr:uid="{C2B7EBA5-EC60-436D-954F-D29C7AEDB150}">
      <formula1>"Round Culvert,Oval Culvert,Concrete Box"</formula1>
    </dataValidation>
    <dataValidation type="decimal" allowBlank="1" showInputMessage="1" showErrorMessage="1" errorTitle="Invalid Diamter or Span" error="The Diameter or Span entered is invalid. Diameter or Span must be &gt; 0 and &lt; 300" sqref="N64" xr:uid="{6B8056C9-4B56-4198-8094-CDA1322261DD}">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64" xr:uid="{DA5E6E2D-7DD8-4C80-871F-47AE7E359D7C}">
      <formula1>0.01</formula1>
      <formula2>0.59</formula2>
    </dataValidation>
    <dataValidation type="list" allowBlank="1" showInputMessage="1" showErrorMessage="1" errorTitle="Invalid value entered" error="The crossing subtype is not compatible with a crossing type of Closed Bottom Structure" sqref="M65" xr:uid="{F4091887-D0D8-4D7B-B0EE-C7F2ED0F12F9}">
      <formula1>"Round Culvert,Oval Culvert,Concrete Box"</formula1>
    </dataValidation>
    <dataValidation type="decimal" allowBlank="1" showInputMessage="1" showErrorMessage="1" errorTitle="Invalid Diamter or Span" error="The Diameter or Span entered is invalid. Diameter or Span must be &gt; 0 and &lt; 300" sqref="N65" xr:uid="{0BECEBB0-D6A8-47E5-9D60-7D48229EEB3A}">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65" xr:uid="{2974182D-39CC-467F-9C6F-2ECFA5F046B1}">
      <formula1>0.01</formula1>
      <formula2>0.69</formula2>
    </dataValidation>
    <dataValidation type="list" allowBlank="1" showInputMessage="1" showErrorMessage="1" errorTitle="Invalid value entered" error="The crossing subtype is not compatible with a crossing type of Closed Bottom Structure" sqref="M66" xr:uid="{92042950-138C-4FB2-8DBB-72CA14608643}">
      <formula1>"Round Culvert,Oval Culvert,Concrete Box"</formula1>
    </dataValidation>
    <dataValidation type="decimal" allowBlank="1" showInputMessage="1" showErrorMessage="1" errorTitle="Invalid Diamter or Span" error="The Diameter or Span entered is invalid. Diameter or Span must be &gt; 0 and &lt; 300" sqref="N66" xr:uid="{47AAC884-C86E-44E7-B4E7-7C4D87DB0EE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66" xr:uid="{DFC2AD49-A128-4995-AD5D-E8BFAC035553}">
      <formula1>0.01</formula1>
      <formula2>0.59</formula2>
    </dataValidation>
    <dataValidation type="list" allowBlank="1" showInputMessage="1" showErrorMessage="1" errorTitle="Invalid value entered" error="The crossing subtype is not compatible with a crossing type of Open Bottom Structure" sqref="M67" xr:uid="{AB5C4746-3A2C-4146-93F4-A7CD372CEFC0}">
      <formula1>"Bridge, Pipe Arch, Wood Box Culvert"</formula1>
    </dataValidation>
    <dataValidation type="decimal" allowBlank="1" showInputMessage="1" showErrorMessage="1" errorTitle="Invalid Diamter or Span" error="The Diameter or Span entered is invalid. Diameter or Span must be &gt; 0 and &lt; 100" sqref="N67" xr:uid="{A769324E-4348-407C-B315-565DC5C156A7}">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7" xr:uid="{D908D94C-459D-4BE2-AA6A-E8E22CF51C8A}">
      <formula1>0.01</formula1>
      <formula2>11.99</formula2>
    </dataValidation>
    <dataValidation type="list" allowBlank="1" showInputMessage="1" showErrorMessage="1" errorTitle="Invalid value entered" error="The crossing subtype is not compatible with a crossing type of Closed Bottom Structure" sqref="M68" xr:uid="{5E303B97-334B-4E99-9467-4126B85AF21A}">
      <formula1>"Round Culvert,Oval Culvert,Concrete Box"</formula1>
    </dataValidation>
    <dataValidation type="decimal" allowBlank="1" showInputMessage="1" showErrorMessage="1" errorTitle="Invalid Diamter or Span" error="The Diameter or Span entered is invalid. Diameter or Span must be &gt; 0 and &lt; 300" sqref="N68" xr:uid="{40A117FA-0111-4844-8911-6A45EE754E18}">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68" xr:uid="{02EE67B0-12EC-40D5-BAA5-F367A6519FAA}">
      <formula1>0.01</formula1>
      <formula2>1.39</formula2>
    </dataValidation>
    <dataValidation type="list" allowBlank="1" showInputMessage="1" showErrorMessage="1" errorTitle="Invalid value entered" error="The crossing subtype is not compatible with a crossing type of Open Bottom Structure" sqref="M69" xr:uid="{FE511318-FB21-4150-8D7F-66B647995139}">
      <formula1>"Bridge, Pipe Arch, Wood Box Culvert"</formula1>
    </dataValidation>
    <dataValidation type="decimal" allowBlank="1" showInputMessage="1" showErrorMessage="1" errorTitle="Invalid Diamter or Span" error="The Diameter or Span entered is invalid. Diameter or Span must be &gt; 0 and &lt; 100" sqref="N69" xr:uid="{CC0A350B-3C39-4E51-B459-80DFB544DECB}">
      <formula1>0.01</formula1>
      <formula2>100</formula2>
    </dataValidation>
    <dataValidation type="decimal" allowBlank="1" showInputMessage="1" showErrorMessage="1" errorTitle="Invalid value entered" error="The Average Depth Embededdment you entered is invalid. The Average Depth Embededdment must be &lt;= 7.99 and &gt;= 0.01" sqref="Q69" xr:uid="{D01FE1AE-72BD-4A1D-B561-27C1D8DA3440}">
      <formula1>0.01</formula1>
      <formula2>7.99</formula2>
    </dataValidation>
    <dataValidation type="list" allowBlank="1" showInputMessage="1" showErrorMessage="1" errorTitle="Invalid value entered" error="The crossing subtype is not compatible with a crossing type of Open Bottom Structure" sqref="M70" xr:uid="{C5F8497F-93A9-4A01-BFA1-009AE77E4088}">
      <formula1>"Bridge, Pipe Arch, Wood Box Culvert"</formula1>
    </dataValidation>
    <dataValidation type="decimal" allowBlank="1" showInputMessage="1" showErrorMessage="1" errorTitle="Invalid Diamter or Span" error="The Diameter or Span entered is invalid. Diameter or Span must be &gt; 0 and &lt; 100" sqref="N70" xr:uid="{BC9E8686-C8C8-438D-ACB4-65628AFD9066}">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70" xr:uid="{847B5619-993C-4AD6-A555-9FCFF547EE44}">
      <formula1>0.01</formula1>
      <formula2>15.99</formula2>
    </dataValidation>
    <dataValidation type="list" allowBlank="1" showInputMessage="1" showErrorMessage="1" errorTitle="Invalid value entered" error="The crossing subtype is not compatible with a crossing type of Open Bottom Structure" sqref="M71" xr:uid="{42B1374C-5755-4228-AEA8-076FEF315A09}">
      <formula1>"Bridge, Pipe Arch, Wood Box Culvert"</formula1>
    </dataValidation>
    <dataValidation type="decimal" allowBlank="1" showInputMessage="1" showErrorMessage="1" errorTitle="Invalid Diamter or Span" error="The Diameter or Span entered is invalid. Diameter or Span must be &gt; 0 and &lt; 100" sqref="N71" xr:uid="{E0A7BD0B-4F62-4594-82D8-BEE54371C9FF}">
      <formula1>0.01</formula1>
      <formula2>100</formula2>
    </dataValidation>
    <dataValidation type="decimal" allowBlank="1" showInputMessage="1" showErrorMessage="1" errorTitle="Invalid value entered" error="The Average Depth Embededdment you entered is invalid. The Average Depth Embededdment must be &lt;= 9.99 and &gt;= 0.01" sqref="Q71" xr:uid="{1BDC7BF1-FB7A-4DBD-8B68-3428BEB592BB}">
      <formula1>0.01</formula1>
      <formula2>9.99</formula2>
    </dataValidation>
    <dataValidation type="list" allowBlank="1" showInputMessage="1" showErrorMessage="1" errorTitle="Invalid value entered" error="The crossing subtype is not compatible with a crossing type of Open Bottom Structure" sqref="M72" xr:uid="{22BFD3E0-0946-4BBC-9033-303921C37B1A}">
      <formula1>"Bridge, Pipe Arch, Wood Box Culvert"</formula1>
    </dataValidation>
    <dataValidation type="decimal" allowBlank="1" showInputMessage="1" showErrorMessage="1" errorTitle="Invalid Diamter or Span" error="The Diameter or Span entered is invalid. Diameter or Span must be &gt; 0 and &lt; 100" sqref="N72" xr:uid="{B0203AA1-6CB9-4274-8497-FDD184573D84}">
      <formula1>0.01</formula1>
      <formula2>100</formula2>
    </dataValidation>
    <dataValidation type="decimal" allowBlank="1" showInputMessage="1" showErrorMessage="1" errorTitle="Invalid value entered" error="The Average Depth Embededdment you entered is invalid. The Average Depth Embededdment must be &lt;= 16.99 and &gt;= 0.01" sqref="Q72" xr:uid="{4E559A1B-4A30-4CD1-87DD-DBD7C9AD311A}">
      <formula1>0.01</formula1>
      <formula2>16.99</formula2>
    </dataValidation>
    <dataValidation type="list" allowBlank="1" showInputMessage="1" showErrorMessage="1" errorTitle="Invalid value entered" error="The crossing subtype is not compatible with a crossing type of Open Bottom Structure" sqref="M73" xr:uid="{98654E97-6834-48C2-A00C-2B59E59AF836}">
      <formula1>"Bridge, Pipe Arch, Wood Box Culvert"</formula1>
    </dataValidation>
    <dataValidation type="decimal" allowBlank="1" showInputMessage="1" showErrorMessage="1" errorTitle="Invalid Diamter or Span" error="The Diameter or Span entered is invalid. Diameter or Span must be &gt; 0 and &lt; 100" sqref="N73" xr:uid="{90D24BD1-91C6-4B05-A9D4-C3B61D7EE3F9}">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73" xr:uid="{DD22FE93-CA5E-4744-A1CC-D339E3BBCC76}">
      <formula1>0.01</formula1>
      <formula2>15.99</formula2>
    </dataValidation>
    <dataValidation type="list" allowBlank="1" showInputMessage="1" showErrorMessage="1" errorTitle="Invalid value entered" error="The crossing subtype is not compatible with a crossing type of Open Bottom Structure" sqref="M74" xr:uid="{49F54268-91EE-4A50-9ABC-E8BC73E91269}">
      <formula1>"Bridge, Pipe Arch, Wood Box Culvert"</formula1>
    </dataValidation>
    <dataValidation type="decimal" allowBlank="1" showInputMessage="1" showErrorMessage="1" errorTitle="Invalid Diamter or Span" error="The Diameter or Span entered is invalid. Diameter or Span must be &gt; 0 and &lt; 100" sqref="N74" xr:uid="{D7307A44-E3F4-47EB-BA58-74420070C34C}">
      <formula1>0.01</formula1>
      <formula2>100</formula2>
    </dataValidation>
    <dataValidation type="decimal" allowBlank="1" showInputMessage="1" showErrorMessage="1" errorTitle="Invalid value entered" error="The Average Depth Embededdment you entered is invalid. The Average Depth Embededdment must be &lt;= 9.99 and &gt;= 0.01" sqref="Q74" xr:uid="{93B89D1E-59BE-44D9-8040-DBD0EC3C6DFE}">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2023-10-26T18:52:25Z</dcterms:modified>
</cp:coreProperties>
</file>